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workspace/doc/linux_io/io_test/virtio_vhost_io/"/>
    </mc:Choice>
  </mc:AlternateContent>
  <bookViews>
    <workbookView xWindow="60" yWindow="460" windowWidth="28740" windowHeight="16440" tabRatio="500" activeTab="5"/>
  </bookViews>
  <sheets>
    <sheet name="input" sheetId="4" r:id="rId1"/>
    <sheet name="disk_spec" sheetId="2" r:id="rId2"/>
    <sheet name="seq_read" sheetId="5" r:id="rId3"/>
    <sheet name="seq_write" sheetId="6" r:id="rId4"/>
    <sheet name="rand_read" sheetId="7" r:id="rId5"/>
    <sheet name="rand_write" sheetId="9" r:id="rId6"/>
    <sheet name="seq_mix" sheetId="11" r:id="rId7"/>
    <sheet name="rand_mix" sheetId="13" r:id="rId8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6" i="13" l="1"/>
  <c r="J26" i="13"/>
  <c r="I26" i="13"/>
  <c r="H26" i="13"/>
  <c r="G26" i="13"/>
  <c r="F26" i="13"/>
  <c r="E26" i="13"/>
  <c r="D26" i="13"/>
  <c r="C26" i="13"/>
  <c r="K25" i="13"/>
  <c r="J25" i="13"/>
  <c r="I25" i="13"/>
  <c r="H25" i="13"/>
  <c r="G25" i="13"/>
  <c r="F25" i="13"/>
  <c r="E25" i="13"/>
  <c r="D25" i="13"/>
  <c r="C25" i="13"/>
  <c r="K24" i="13"/>
  <c r="J24" i="13"/>
  <c r="I24" i="13"/>
  <c r="H24" i="13"/>
  <c r="G24" i="13"/>
  <c r="F24" i="13"/>
  <c r="E24" i="13"/>
  <c r="D24" i="13"/>
  <c r="C24" i="13"/>
  <c r="K23" i="13"/>
  <c r="J23" i="13"/>
  <c r="I23" i="13"/>
  <c r="H23" i="13"/>
  <c r="G23" i="13"/>
  <c r="F23" i="13"/>
  <c r="E23" i="13"/>
  <c r="D23" i="13"/>
  <c r="C23" i="13"/>
  <c r="K22" i="13"/>
  <c r="J22" i="13"/>
  <c r="I22" i="13"/>
  <c r="H22" i="13"/>
  <c r="G22" i="13"/>
  <c r="F22" i="13"/>
  <c r="E22" i="13"/>
  <c r="D22" i="13"/>
  <c r="C22" i="13"/>
  <c r="K21" i="13"/>
  <c r="J21" i="13"/>
  <c r="I21" i="13"/>
  <c r="H21" i="13"/>
  <c r="G21" i="13"/>
  <c r="F21" i="13"/>
  <c r="E21" i="13"/>
  <c r="D21" i="13"/>
  <c r="C21" i="13"/>
  <c r="K20" i="13"/>
  <c r="J20" i="13"/>
  <c r="I20" i="13"/>
  <c r="H20" i="13"/>
  <c r="G20" i="13"/>
  <c r="F20" i="13"/>
  <c r="E20" i="13"/>
  <c r="D20" i="13"/>
  <c r="C20" i="13"/>
  <c r="D20" i="11"/>
  <c r="E20" i="11"/>
  <c r="F20" i="11"/>
  <c r="G20" i="11"/>
  <c r="H20" i="11"/>
  <c r="I20" i="11"/>
  <c r="J20" i="11"/>
  <c r="K20" i="11"/>
  <c r="D21" i="11"/>
  <c r="E21" i="11"/>
  <c r="F21" i="11"/>
  <c r="G21" i="11"/>
  <c r="H21" i="11"/>
  <c r="I21" i="11"/>
  <c r="J21" i="11"/>
  <c r="K21" i="11"/>
  <c r="D22" i="11"/>
  <c r="E22" i="11"/>
  <c r="F22" i="11"/>
  <c r="G22" i="11"/>
  <c r="H22" i="11"/>
  <c r="I22" i="11"/>
  <c r="J22" i="11"/>
  <c r="K22" i="11"/>
  <c r="D23" i="11"/>
  <c r="E23" i="11"/>
  <c r="F23" i="11"/>
  <c r="G23" i="11"/>
  <c r="H23" i="11"/>
  <c r="I23" i="11"/>
  <c r="J23" i="11"/>
  <c r="K23" i="11"/>
  <c r="D24" i="11"/>
  <c r="E24" i="11"/>
  <c r="F24" i="11"/>
  <c r="G24" i="11"/>
  <c r="H24" i="11"/>
  <c r="I24" i="11"/>
  <c r="J24" i="11"/>
  <c r="K24" i="11"/>
  <c r="D25" i="11"/>
  <c r="E25" i="11"/>
  <c r="F25" i="11"/>
  <c r="G25" i="11"/>
  <c r="H25" i="11"/>
  <c r="I25" i="11"/>
  <c r="J25" i="11"/>
  <c r="K25" i="11"/>
  <c r="D26" i="11"/>
  <c r="E26" i="11"/>
  <c r="F26" i="11"/>
  <c r="G26" i="11"/>
  <c r="H26" i="11"/>
  <c r="I26" i="11"/>
  <c r="J26" i="11"/>
  <c r="K26" i="11"/>
  <c r="C23" i="11"/>
  <c r="C24" i="11"/>
  <c r="C25" i="11"/>
  <c r="C26" i="11"/>
  <c r="C22" i="11"/>
  <c r="C21" i="11"/>
  <c r="C20" i="11"/>
</calcChain>
</file>

<file path=xl/sharedStrings.xml><?xml version="1.0" encoding="utf-8"?>
<sst xmlns="http://schemas.openxmlformats.org/spreadsheetml/2006/main" count="183" uniqueCount="85">
  <si>
    <t>rand read (IOPS)</t>
    <phoneticPr fontId="2" type="noConversion"/>
  </si>
  <si>
    <t>rand write (IOPS)</t>
    <phoneticPr fontId="2" type="noConversion"/>
  </si>
  <si>
    <t>SSD</t>
    <phoneticPr fontId="2" type="noConversion"/>
  </si>
  <si>
    <t>100% span</t>
    <phoneticPr fontId="2" type="noConversion"/>
  </si>
  <si>
    <t>latency write (us)</t>
    <phoneticPr fontId="2" type="noConversion"/>
  </si>
  <si>
    <t>latency read (us)</t>
    <phoneticPr fontId="2" type="noConversion"/>
  </si>
  <si>
    <t>thread</t>
    <phoneticPr fontId="2" type="noConversion"/>
  </si>
  <si>
    <t>IOPS</t>
    <phoneticPr fontId="2" type="noConversion"/>
  </si>
  <si>
    <t>latency min (us)</t>
    <phoneticPr fontId="2" type="noConversion"/>
  </si>
  <si>
    <t>latency stdev (us)</t>
    <phoneticPr fontId="2" type="noConversion"/>
  </si>
  <si>
    <t>latency avg (us)</t>
    <phoneticPr fontId="2" type="noConversion"/>
  </si>
  <si>
    <t>latency max (us)</t>
    <phoneticPr fontId="2" type="noConversion"/>
  </si>
  <si>
    <t>spec bw</t>
    <phoneticPr fontId="2" type="noConversion"/>
  </si>
  <si>
    <t>SSDSC2BB012T7</t>
    <phoneticPr fontId="2" type="noConversion"/>
  </si>
  <si>
    <t>spec single SSD</t>
    <phoneticPr fontId="2" type="noConversion"/>
  </si>
  <si>
    <t>QD=1</t>
    <phoneticPr fontId="2" type="noConversion"/>
  </si>
  <si>
    <t>1.09TiB</t>
    <phoneticPr fontId="2" type="noConversion"/>
  </si>
  <si>
    <t>RAID10 (2.18TiB)</t>
    <phoneticPr fontId="2" type="noConversion"/>
  </si>
  <si>
    <t>seq read(MiB/s)</t>
    <phoneticPr fontId="2" type="noConversion"/>
  </si>
  <si>
    <t>seq write (MiB/s)</t>
    <phoneticPr fontId="2" type="noConversion"/>
  </si>
  <si>
    <t>450 MB/s</t>
    <phoneticPr fontId="2" type="noConversion"/>
  </si>
  <si>
    <t>380 MB/s</t>
    <phoneticPr fontId="2" type="noConversion"/>
  </si>
  <si>
    <t>queue depth</t>
    <phoneticPr fontId="2" type="noConversion"/>
  </si>
  <si>
    <t>block size (KiB)</t>
    <phoneticPr fontId="2" type="noConversion"/>
  </si>
  <si>
    <t>RAID Setting</t>
    <phoneticPr fontId="2" type="noConversion"/>
  </si>
  <si>
    <t>Virtual Drive</t>
  </si>
  <si>
    <t xml:space="preserve">Name                </t>
  </si>
  <si>
    <t xml:space="preserve">RAID Level          </t>
  </si>
  <si>
    <t xml:space="preserve"> Primary-1, Secondary-0, RAID Level Qualifier-0</t>
  </si>
  <si>
    <t xml:space="preserve">Size                </t>
  </si>
  <si>
    <t xml:space="preserve"> 2.181 TB</t>
  </si>
  <si>
    <t xml:space="preserve">Sector Size         </t>
  </si>
  <si>
    <t xml:space="preserve">Is VD emulated      </t>
  </si>
  <si>
    <t xml:space="preserve"> Yes</t>
  </si>
  <si>
    <t xml:space="preserve">Mirror Data         </t>
  </si>
  <si>
    <t xml:space="preserve">State               </t>
  </si>
  <si>
    <t xml:space="preserve"> Optimal</t>
  </si>
  <si>
    <t xml:space="preserve">Strip Size          </t>
  </si>
  <si>
    <t xml:space="preserve"> 64 KB</t>
  </si>
  <si>
    <t>Number Of Drives per span</t>
  </si>
  <si>
    <t xml:space="preserve">Span Depth          </t>
  </si>
  <si>
    <t>Default Cache Policy</t>
  </si>
  <si>
    <t xml:space="preserve"> WriteBack, ReadAhead, Direct, No Write Cache if Bad BBU</t>
  </si>
  <si>
    <t>Current Cache Policy</t>
  </si>
  <si>
    <t>Default Access Policy</t>
  </si>
  <si>
    <t xml:space="preserve"> Read/Write</t>
  </si>
  <si>
    <t>Current Access Policy</t>
  </si>
  <si>
    <t xml:space="preserve">Disk Cache Policy   </t>
  </si>
  <si>
    <t xml:space="preserve"> Disk's Default</t>
  </si>
  <si>
    <t xml:space="preserve">Encryption Type     </t>
  </si>
  <si>
    <t xml:space="preserve"> None</t>
  </si>
  <si>
    <t>Bad Blocks Exist</t>
  </si>
  <si>
    <t xml:space="preserve"> No</t>
  </si>
  <si>
    <t>PI type</t>
  </si>
  <si>
    <t xml:space="preserve"> No PI</t>
  </si>
  <si>
    <t>Is VD Cached</t>
  </si>
  <si>
    <t xml:space="preserve"> 1 (Target Id 1)</t>
    <phoneticPr fontId="2" type="noConversion"/>
  </si>
  <si>
    <t>fs type</t>
    <phoneticPr fontId="2" type="noConversion"/>
  </si>
  <si>
    <t>raw</t>
    <phoneticPr fontId="2" type="noConversion"/>
  </si>
  <si>
    <t>latency (99%) (us)</t>
    <phoneticPr fontId="2" type="noConversion"/>
  </si>
  <si>
    <t>io.util (%)</t>
    <phoneticPr fontId="2" type="noConversion"/>
  </si>
  <si>
    <t>Bandwidth (MiB/s)</t>
    <phoneticPr fontId="2" type="noConversion"/>
  </si>
  <si>
    <t>Sequence Read</t>
    <phoneticPr fontId="2" type="noConversion"/>
  </si>
  <si>
    <t>queue_depth</t>
    <phoneticPr fontId="2" type="noConversion"/>
  </si>
  <si>
    <t>Sequence Write</t>
  </si>
  <si>
    <t>Random Read</t>
    <phoneticPr fontId="2" type="noConversion"/>
  </si>
  <si>
    <t>Random Write</t>
    <phoneticPr fontId="2" type="noConversion"/>
  </si>
  <si>
    <t>100G</t>
    <phoneticPr fontId="2" type="noConversion"/>
  </si>
  <si>
    <t>10G</t>
    <phoneticPr fontId="2" type="noConversion"/>
  </si>
  <si>
    <t>test size</t>
    <phoneticPr fontId="2" type="noConversion"/>
  </si>
  <si>
    <t>1 ~ 256</t>
    <phoneticPr fontId="2" type="noConversion"/>
  </si>
  <si>
    <t>sequence rw</t>
    <phoneticPr fontId="2" type="noConversion"/>
  </si>
  <si>
    <t>random rw</t>
    <phoneticPr fontId="2" type="noConversion"/>
  </si>
  <si>
    <t>MiB/s ~ IOPS</t>
    <phoneticPr fontId="2" type="noConversion"/>
  </si>
  <si>
    <t>1770 ~ 28400</t>
    <phoneticPr fontId="2" type="noConversion"/>
  </si>
  <si>
    <t>700 ~ 11200</t>
    <phoneticPr fontId="2" type="noConversion"/>
  </si>
  <si>
    <t>531 ~ 136000</t>
    <phoneticPr fontId="2" type="noConversion"/>
  </si>
  <si>
    <t>140 ~ 35900</t>
    <phoneticPr fontId="2" type="noConversion"/>
  </si>
  <si>
    <t>RAID10 Test Condition</t>
    <phoneticPr fontId="2" type="noConversion"/>
  </si>
  <si>
    <t>Sequence readwrite</t>
    <phoneticPr fontId="2" type="noConversion"/>
  </si>
  <si>
    <t>read</t>
    <phoneticPr fontId="2" type="noConversion"/>
  </si>
  <si>
    <t>write</t>
    <phoneticPr fontId="2" type="noConversion"/>
  </si>
  <si>
    <t>total</t>
    <phoneticPr fontId="2" type="noConversion"/>
  </si>
  <si>
    <t>queue_depth</t>
    <phoneticPr fontId="2" type="noConversion"/>
  </si>
  <si>
    <t>Random readwrite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</si>
</sst>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DengXian"/>
      <family val="2"/>
      <charset val="134"/>
      <scheme val="minor"/>
    </font>
    <font>
      <b/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8"/>
      <color theme="1"/>
      <name val="DengXian"/>
      <family val="2"/>
      <charset val="134"/>
      <scheme val="minor"/>
    </font>
    <font>
      <u/>
      <sz val="18"/>
      <color theme="10"/>
      <name val="DengXian"/>
      <family val="4"/>
      <charset val="134"/>
      <scheme val="minor"/>
    </font>
    <font>
      <sz val="12"/>
      <color rgb="FF000000"/>
      <name val="Helvetica"/>
      <family val="2"/>
    </font>
    <font>
      <sz val="12"/>
      <color rgb="FF040404"/>
      <name val="Monaco"/>
      <family val="2"/>
    </font>
    <font>
      <b/>
      <sz val="12"/>
      <color theme="0"/>
      <name val="DengXian"/>
      <family val="2"/>
      <charset val="134"/>
      <scheme val="minor"/>
    </font>
    <font>
      <b/>
      <sz val="12"/>
      <color rgb="FFFF0000"/>
      <name val="DengXian"/>
      <family val="2"/>
      <charset val="134"/>
      <scheme val="minor"/>
    </font>
    <font>
      <b/>
      <sz val="18"/>
      <color theme="0"/>
      <name val="DengXian"/>
      <family val="4"/>
      <charset val="134"/>
      <scheme val="minor"/>
    </font>
    <font>
      <sz val="14"/>
      <color rgb="FF839496"/>
      <name val="Menlo"/>
      <family val="2"/>
    </font>
    <font>
      <sz val="12"/>
      <color rgb="FF000000"/>
      <name val="System Font"/>
    </font>
  </fonts>
  <fills count="1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6" fillId="0" borderId="0" xfId="5" applyFont="1"/>
    <xf numFmtId="0" fontId="5" fillId="0" borderId="0" xfId="0" applyFont="1"/>
    <xf numFmtId="0" fontId="5" fillId="0" borderId="0" xfId="0" applyFont="1" applyFill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1" fillId="0" borderId="0" xfId="0" applyFont="1"/>
    <xf numFmtId="0" fontId="1" fillId="7" borderId="1" xfId="0" applyFont="1" applyFill="1" applyBorder="1"/>
    <xf numFmtId="0" fontId="0" fillId="0" borderId="2" xfId="0" applyFill="1" applyBorder="1"/>
    <xf numFmtId="0" fontId="5" fillId="0" borderId="1" xfId="0" applyFont="1" applyFill="1" applyBorder="1"/>
    <xf numFmtId="0" fontId="8" fillId="0" borderId="0" xfId="0" applyFont="1"/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center"/>
    </xf>
    <xf numFmtId="0" fontId="9" fillId="8" borderId="1" xfId="0" applyFont="1" applyFill="1" applyBorder="1"/>
    <xf numFmtId="0" fontId="1" fillId="3" borderId="1" xfId="0" applyFont="1" applyFill="1" applyBorder="1"/>
    <xf numFmtId="0" fontId="1" fillId="2" borderId="1" xfId="0" applyFont="1" applyFill="1" applyBorder="1"/>
    <xf numFmtId="0" fontId="1" fillId="0" borderId="1" xfId="0" applyFont="1" applyBorder="1"/>
    <xf numFmtId="0" fontId="0" fillId="0" borderId="1" xfId="0" applyFill="1" applyBorder="1"/>
    <xf numFmtId="0" fontId="0" fillId="0" borderId="1" xfId="0" applyNumberFormat="1" applyBorder="1"/>
    <xf numFmtId="0" fontId="10" fillId="0" borderId="0" xfId="0" applyFont="1"/>
    <xf numFmtId="0" fontId="9" fillId="9" borderId="1" xfId="0" applyNumberFormat="1" applyFont="1" applyFill="1" applyBorder="1"/>
    <xf numFmtId="0" fontId="9" fillId="9" borderId="1" xfId="0" applyFont="1" applyFill="1" applyBorder="1"/>
    <xf numFmtId="0" fontId="11" fillId="10" borderId="0" xfId="0" applyFont="1" applyFill="1"/>
    <xf numFmtId="0" fontId="11" fillId="10" borderId="1" xfId="0" applyFont="1" applyFill="1" applyBorder="1"/>
    <xf numFmtId="0" fontId="12" fillId="0" borderId="0" xfId="0" applyFont="1"/>
    <xf numFmtId="0" fontId="1" fillId="0" borderId="3" xfId="0" applyFont="1" applyBorder="1" applyAlignment="1">
      <alignment horizontal="center" vertical="center"/>
    </xf>
  </cellXfs>
  <cellStyles count="6">
    <cellStyle name="常规" xfId="0" builtinId="0"/>
    <cellStyle name="超链接" xfId="1" builtinId="8" hidden="1"/>
    <cellStyle name="超链接" xfId="3" builtinId="8" hidden="1"/>
    <cellStyle name="超链接" xfId="5" builtinId="8"/>
    <cellStyle name="已访问的超链接" xfId="2" builtinId="9" hidden="1"/>
    <cellStyle name="已访问的超链接" xfId="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microsoft.com/office/2011/relationships/chartStyle" Target="style24.xml"/><Relationship Id="rId2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microsoft.com/office/2011/relationships/chartStyle" Target="style25.xml"/><Relationship Id="rId2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microsoft.com/office/2011/relationships/chartStyle" Target="style26.xml"/><Relationship Id="rId2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microsoft.com/office/2011/relationships/chartStyle" Target="style27.xml"/><Relationship Id="rId2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microsoft.com/office/2011/relationships/chartStyle" Target="style28.xml"/><Relationship Id="rId2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microsoft.com/office/2011/relationships/chartStyle" Target="style29.xml"/><Relationship Id="rId2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microsoft.com/office/2011/relationships/chartStyle" Target="style30.xml"/><Relationship Id="rId2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microsoft.com/office/2011/relationships/chartStyle" Target="style31.xml"/><Relationship Id="rId2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microsoft.com/office/2011/relationships/chartStyle" Target="style32.xml"/><Relationship Id="rId2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microsoft.com/office/2011/relationships/chartStyle" Target="style33.xml"/><Relationship Id="rId2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microsoft.com/office/2011/relationships/chartStyle" Target="style34.xml"/><Relationship Id="rId2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microsoft.com/office/2011/relationships/chartStyle" Target="style35.xml"/><Relationship Id="rId2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microsoft.com/office/2011/relationships/chartStyle" Target="style36.xml"/><Relationship Id="rId2" Type="http://schemas.microsoft.com/office/2011/relationships/chartColorStyle" Target="colors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seq_read!$B$6</c:f>
              <c:strCache>
                <c:ptCount val="1"/>
                <c:pt idx="0">
                  <c:v>IOPS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seq_read!$C$5:$K$5</c:f>
              <c:numCache>
                <c:formatCode>General</c:formatCode>
                <c:ptCount val="9"/>
              </c:numCache>
            </c:numRef>
          </c:xVal>
          <c:yVal>
            <c:numRef>
              <c:f>seq_read!$C$6:$K$6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3195824"/>
        <c:axId val="-1733289888"/>
      </c:scatterChart>
      <c:valAx>
        <c:axId val="-173319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3289888"/>
        <c:crosses val="autoZero"/>
        <c:crossBetween val="midCat"/>
      </c:valAx>
      <c:valAx>
        <c:axId val="-17332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319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seq_read!$B$7</c:f>
              <c:strCache>
                <c:ptCount val="1"/>
                <c:pt idx="0">
                  <c:v>Bandwidth (MiB/s)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seq_read!$C$5:$K$5</c:f>
              <c:numCache>
                <c:formatCode>General</c:formatCode>
                <c:ptCount val="9"/>
              </c:numCache>
            </c:numRef>
          </c:xVal>
          <c:yVal>
            <c:numRef>
              <c:f>seq_read!$C$7:$K$7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618432"/>
        <c:axId val="-1658615040"/>
      </c:scatterChart>
      <c:valAx>
        <c:axId val="-165861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615040"/>
        <c:crosses val="autoZero"/>
        <c:crossBetween val="midCat"/>
      </c:valAx>
      <c:valAx>
        <c:axId val="-165861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61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seq_read!$B$12</c:f>
              <c:strCache>
                <c:ptCount val="1"/>
                <c:pt idx="0">
                  <c:v>latency (99%) (us)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seq_read!$C$5:$K$5</c:f>
              <c:numCache>
                <c:formatCode>General</c:formatCode>
                <c:ptCount val="9"/>
              </c:numCache>
            </c:numRef>
          </c:xVal>
          <c:yVal>
            <c:numRef>
              <c:f>seq_read!$C$12:$K$12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591648"/>
        <c:axId val="-1658588528"/>
      </c:scatterChart>
      <c:valAx>
        <c:axId val="-165859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88528"/>
        <c:crosses val="autoZero"/>
        <c:crossBetween val="midCat"/>
      </c:valAx>
      <c:valAx>
        <c:axId val="-165858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9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seq_read!$B$13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seq_read!$C$5:$K$5</c:f>
              <c:numCache>
                <c:formatCode>General</c:formatCode>
                <c:ptCount val="9"/>
              </c:numCache>
            </c:numRef>
          </c:xVal>
          <c:yVal>
            <c:numRef>
              <c:f>seq_read!$C$13:$K$13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566768"/>
        <c:axId val="-1658563376"/>
      </c:scatterChart>
      <c:valAx>
        <c:axId val="-165856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63376"/>
        <c:crosses val="autoZero"/>
        <c:crossBetween val="midCat"/>
      </c:valAx>
      <c:valAx>
        <c:axId val="-165856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6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0"/>
                  <c:y val="0.009102383175929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00299540099810535"/>
                  <c:y val="-0.0364095327037161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0449310149715802"/>
                  <c:y val="-0.0394436604290258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179724059886321"/>
                  <c:y val="-0.0364095327037161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0164747054895795"/>
                  <c:y val="-0.045511915879645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seq_read!$C$6:$K$6</c:f>
              <c:numCache>
                <c:formatCode>General</c:formatCode>
                <c:ptCount val="9"/>
              </c:numCache>
            </c:numRef>
          </c:xVal>
          <c:yVal>
            <c:numRef>
              <c:f>seq_read!$C$12:$K$12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535072"/>
        <c:axId val="-1658531680"/>
      </c:scatterChart>
      <c:valAx>
        <c:axId val="-165853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31680"/>
        <c:crosses val="autoZero"/>
        <c:crossBetween val="midCat"/>
      </c:valAx>
      <c:valAx>
        <c:axId val="-16585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3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0149921055349791"/>
                  <c:y val="0.00606825545061922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0104944738744854"/>
                  <c:y val="-0.0333754049784064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seq_read!$C$7:$K$7</c:f>
              <c:numCache>
                <c:formatCode>General</c:formatCode>
                <c:ptCount val="9"/>
              </c:numCache>
            </c:numRef>
          </c:xVal>
          <c:yVal>
            <c:numRef>
              <c:f>seq_read!$C$12:$K$12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502128"/>
        <c:axId val="-1658498736"/>
      </c:scatterChart>
      <c:valAx>
        <c:axId val="-165850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98736"/>
        <c:crosses val="autoZero"/>
        <c:crossBetween val="midCat"/>
      </c:valAx>
      <c:valAx>
        <c:axId val="-165849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50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Write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seq_write!$B$6</c:f>
              <c:strCache>
                <c:ptCount val="1"/>
                <c:pt idx="0">
                  <c:v>IOPS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seq_write!$C$5:$K$5</c:f>
              <c:numCache>
                <c:formatCode>General</c:formatCode>
                <c:ptCount val="9"/>
              </c:numCache>
            </c:numRef>
          </c:xVal>
          <c:yVal>
            <c:numRef>
              <c:f>seq_write!$C$6:$K$6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462864"/>
        <c:axId val="-1658459472"/>
      </c:scatterChart>
      <c:valAx>
        <c:axId val="-165846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59472"/>
        <c:crosses val="autoZero"/>
        <c:crossBetween val="midCat"/>
      </c:valAx>
      <c:valAx>
        <c:axId val="-16584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6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Write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seq_write!$B$7</c:f>
              <c:strCache>
                <c:ptCount val="1"/>
                <c:pt idx="0">
                  <c:v>Bandwidth (MiB/s)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seq_write!$C$5:$K$5</c:f>
              <c:numCache>
                <c:formatCode>General</c:formatCode>
                <c:ptCount val="9"/>
              </c:numCache>
            </c:numRef>
          </c:xVal>
          <c:yVal>
            <c:numRef>
              <c:f>seq_write!$C$7:$K$7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4592928"/>
        <c:axId val="-1732730640"/>
      </c:scatterChart>
      <c:valAx>
        <c:axId val="-181459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2730640"/>
        <c:crosses val="autoZero"/>
        <c:crossBetween val="midCat"/>
      </c:valAx>
      <c:valAx>
        <c:axId val="-17327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459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seq_write!$B$12</c:f>
              <c:strCache>
                <c:ptCount val="1"/>
                <c:pt idx="0">
                  <c:v>latency (99%) (us)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seq_write!$C$5:$K$5</c:f>
              <c:numCache>
                <c:formatCode>General</c:formatCode>
                <c:ptCount val="9"/>
              </c:numCache>
            </c:numRef>
          </c:xVal>
          <c:yVal>
            <c:numRef>
              <c:f>seq_write!$C$12:$K$12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450128"/>
        <c:axId val="-1658447008"/>
      </c:scatterChart>
      <c:valAx>
        <c:axId val="-165845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47008"/>
        <c:crosses val="autoZero"/>
        <c:crossBetween val="midCat"/>
      </c:valAx>
      <c:valAx>
        <c:axId val="-165844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5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seq_write!$B$13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seq_write!$C$5:$K$5</c:f>
              <c:numCache>
                <c:formatCode>General</c:formatCode>
                <c:ptCount val="9"/>
              </c:numCache>
            </c:numRef>
          </c:xVal>
          <c:yVal>
            <c:numRef>
              <c:f>seq_write!$C$13:$K$13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421376"/>
        <c:axId val="-1658417984"/>
      </c:scatterChart>
      <c:valAx>
        <c:axId val="-165842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17984"/>
        <c:crosses val="autoZero"/>
        <c:crossBetween val="midCat"/>
      </c:valAx>
      <c:valAx>
        <c:axId val="-16584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42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0104839034933687"/>
                  <c:y val="-0.054614299055574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seq_write!$C$6:$K$6</c:f>
              <c:numCache>
                <c:formatCode>General</c:formatCode>
                <c:ptCount val="9"/>
              </c:numCache>
            </c:numRef>
          </c:xVal>
          <c:yVal>
            <c:numRef>
              <c:f>seq_write!$C$12:$K$12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818624"/>
        <c:axId val="-1658815232"/>
      </c:scatterChart>
      <c:valAx>
        <c:axId val="-165881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815232"/>
        <c:crosses val="autoZero"/>
        <c:crossBetween val="midCat"/>
      </c:valAx>
      <c:valAx>
        <c:axId val="-16588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81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0449763166049374"/>
                  <c:y val="-0.0364095327037161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119936844279834"/>
                  <c:y val="-0.0515801713302643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seq_write!$C$7:$K$7</c:f>
              <c:numCache>
                <c:formatCode>General</c:formatCode>
                <c:ptCount val="9"/>
              </c:numCache>
            </c:numRef>
          </c:xVal>
          <c:yVal>
            <c:numRef>
              <c:f>seq_write!$C$12:$K$12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5144208"/>
        <c:axId val="-1815127472"/>
      </c:scatterChart>
      <c:valAx>
        <c:axId val="-181514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5127472"/>
        <c:crosses val="autoZero"/>
        <c:crossBetween val="midCat"/>
      </c:valAx>
      <c:valAx>
        <c:axId val="-18151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514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Random</a:t>
            </a:r>
            <a:r>
              <a:rPr lang="zh-CN" altLang="en-US" b="1"/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rand_read!$B$6</c:f>
              <c:strCache>
                <c:ptCount val="1"/>
                <c:pt idx="0">
                  <c:v>IOPS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rand_read!$C$5:$K$5</c:f>
              <c:numCache>
                <c:formatCode>General</c:formatCode>
                <c:ptCount val="9"/>
              </c:numCache>
            </c:numRef>
          </c:xVal>
          <c:yVal>
            <c:numRef>
              <c:f>rand_read!$C$6:$K$6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392528"/>
        <c:axId val="-1815194368"/>
      </c:scatterChart>
      <c:valAx>
        <c:axId val="-165839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5194368"/>
        <c:crosses val="autoZero"/>
        <c:crossBetween val="midCat"/>
      </c:valAx>
      <c:valAx>
        <c:axId val="-18151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39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rand_read!$B$7</c:f>
              <c:strCache>
                <c:ptCount val="1"/>
                <c:pt idx="0">
                  <c:v>Bandwidth (MiB/s)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rand_read!$C$5:$K$5</c:f>
              <c:numCache>
                <c:formatCode>General</c:formatCode>
                <c:ptCount val="9"/>
              </c:numCache>
            </c:numRef>
          </c:xVal>
          <c:yVal>
            <c:numRef>
              <c:f>rand_read!$C$7:$K$7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249456"/>
        <c:axId val="-1707245072"/>
      </c:scatterChart>
      <c:valAx>
        <c:axId val="-17072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45072"/>
        <c:crosses val="autoZero"/>
        <c:crossBetween val="midCat"/>
      </c:valAx>
      <c:valAx>
        <c:axId val="-17072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4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rand_read!$B$12</c:f>
              <c:strCache>
                <c:ptCount val="1"/>
                <c:pt idx="0">
                  <c:v>latency (99%) (us)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rand_read!$C$5:$K$5</c:f>
              <c:numCache>
                <c:formatCode>General</c:formatCode>
                <c:ptCount val="9"/>
              </c:numCache>
            </c:numRef>
          </c:xVal>
          <c:yVal>
            <c:numRef>
              <c:f>rand_read!$C$12:$K$12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2038160"/>
        <c:axId val="-1811959008"/>
      </c:scatterChart>
      <c:valAx>
        <c:axId val="-181203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1959008"/>
        <c:crosses val="autoZero"/>
        <c:crossBetween val="midCat"/>
      </c:valAx>
      <c:valAx>
        <c:axId val="-18119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203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rand_read!$B$13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rand_read!$C$5:$K$5</c:f>
              <c:numCache>
                <c:formatCode>General</c:formatCode>
                <c:ptCount val="9"/>
              </c:numCache>
            </c:numRef>
          </c:xVal>
          <c:yVal>
            <c:numRef>
              <c:f>rand_read!$C$13:$K$13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4827184"/>
        <c:axId val="-1812152672"/>
      </c:scatterChart>
      <c:valAx>
        <c:axId val="-170482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2152672"/>
        <c:crosses val="autoZero"/>
        <c:crossBetween val="midCat"/>
      </c:valAx>
      <c:valAx>
        <c:axId val="-18121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482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rand_read!$C$6:$K$6</c:f>
              <c:numCache>
                <c:formatCode>General</c:formatCode>
                <c:ptCount val="9"/>
              </c:numCache>
            </c:numRef>
          </c:xVal>
          <c:yVal>
            <c:numRef>
              <c:f>rand_read!$C$12:$K$12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207088"/>
        <c:axId val="-1707202784"/>
      </c:scatterChart>
      <c:valAx>
        <c:axId val="-170720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02784"/>
        <c:crosses val="autoZero"/>
        <c:crossBetween val="midCat"/>
      </c:valAx>
      <c:valAx>
        <c:axId val="-17072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0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Read</a:t>
            </a:r>
            <a:r>
              <a:rPr lang="zh-CN" altLang="en-US" b="1" baseline="0"/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rand_read!$C$7:$K$7</c:f>
              <c:numCache>
                <c:formatCode>General</c:formatCode>
                <c:ptCount val="9"/>
              </c:numCache>
            </c:numRef>
          </c:xVal>
          <c:yVal>
            <c:numRef>
              <c:f>rand_read!$C$12:$K$12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930848"/>
        <c:axId val="-1777944112"/>
      </c:scatterChart>
      <c:valAx>
        <c:axId val="-173493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7944112"/>
        <c:crosses val="autoZero"/>
        <c:crossBetween val="midCat"/>
      </c:valAx>
      <c:valAx>
        <c:axId val="-17779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493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Random</a:t>
            </a:r>
            <a:r>
              <a:rPr lang="zh-CN" altLang="en-US" b="1"/>
              <a:t> </a:t>
            </a:r>
            <a:r>
              <a:rPr lang="en-US" altLang="zh-CN" b="1" baseline="0"/>
              <a:t>Write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rand_write!$B$6</c:f>
              <c:strCache>
                <c:ptCount val="1"/>
                <c:pt idx="0">
                  <c:v>IOPS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rand_write!$C$5:$K$5</c:f>
              <c:numCache>
                <c:formatCode>General</c:formatCode>
                <c:ptCount val="9"/>
              </c:numCache>
            </c:numRef>
          </c:xVal>
          <c:yVal>
            <c:numRef>
              <c:f>rand_write!$C$6:$K$6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238736"/>
        <c:axId val="-1707123200"/>
      </c:scatterChart>
      <c:valAx>
        <c:axId val="-170723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123200"/>
        <c:crosses val="autoZero"/>
        <c:crossBetween val="midCat"/>
      </c:valAx>
      <c:valAx>
        <c:axId val="-17071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3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rand_write!$B$7</c:f>
              <c:strCache>
                <c:ptCount val="1"/>
                <c:pt idx="0">
                  <c:v>Bandwidth (MiB/s)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rand_write!$C$5:$K$5</c:f>
              <c:numCache>
                <c:formatCode>General</c:formatCode>
                <c:ptCount val="9"/>
              </c:numCache>
            </c:numRef>
          </c:xVal>
          <c:yVal>
            <c:numRef>
              <c:f>rand_write!$C$7:$K$7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77779008"/>
        <c:axId val="-1777872512"/>
      </c:scatterChart>
      <c:valAx>
        <c:axId val="-177777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7872512"/>
        <c:crosses val="autoZero"/>
        <c:crossBetween val="midCat"/>
      </c:valAx>
      <c:valAx>
        <c:axId val="-177787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777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rand_write!$B$12</c:f>
              <c:strCache>
                <c:ptCount val="1"/>
                <c:pt idx="0">
                  <c:v>latency (99%) (us)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rand_write!$C$5:$K$5</c:f>
              <c:numCache>
                <c:formatCode>General</c:formatCode>
                <c:ptCount val="9"/>
              </c:numCache>
            </c:numRef>
          </c:xVal>
          <c:yVal>
            <c:numRef>
              <c:f>rand_write!$C$12:$K$12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9201168"/>
        <c:axId val="-1729449520"/>
      </c:scatterChart>
      <c:valAx>
        <c:axId val="-172920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29449520"/>
        <c:crosses val="autoZero"/>
        <c:crossBetween val="midCat"/>
      </c:valAx>
      <c:valAx>
        <c:axId val="-172944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2920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rand_write!$B$13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rand_write!$C$5:$K$5</c:f>
              <c:numCache>
                <c:formatCode>General</c:formatCode>
                <c:ptCount val="9"/>
              </c:numCache>
            </c:numRef>
          </c:xVal>
          <c:yVal>
            <c:numRef>
              <c:f>rand_write!$C$13:$K$13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802848"/>
        <c:axId val="-1658799456"/>
      </c:scatterChart>
      <c:valAx>
        <c:axId val="-165880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799456"/>
        <c:crosses val="autoZero"/>
        <c:crossBetween val="midCat"/>
      </c:valAx>
      <c:valAx>
        <c:axId val="-16587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80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rand_write!$C$6:$K$6</c:f>
              <c:numCache>
                <c:formatCode>General</c:formatCode>
                <c:ptCount val="9"/>
              </c:numCache>
            </c:numRef>
          </c:xVal>
          <c:yVal>
            <c:numRef>
              <c:f>rand_write!$C$12:$K$12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780976"/>
        <c:axId val="-1658777584"/>
      </c:scatterChart>
      <c:valAx>
        <c:axId val="-165878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777584"/>
        <c:crosses val="autoZero"/>
        <c:crossBetween val="midCat"/>
      </c:valAx>
      <c:valAx>
        <c:axId val="-165877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78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Write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rand_write!$C$7:$K$7</c:f>
              <c:numCache>
                <c:formatCode>General</c:formatCode>
                <c:ptCount val="9"/>
              </c:numCache>
            </c:numRef>
          </c:xVal>
          <c:yVal>
            <c:numRef>
              <c:f>rand_write!$C$12:$K$12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294336"/>
        <c:axId val="-1707479840"/>
      </c:scatterChart>
      <c:valAx>
        <c:axId val="-170729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479840"/>
        <c:crosses val="autoZero"/>
        <c:crossBetween val="midCat"/>
      </c:valAx>
      <c:valAx>
        <c:axId val="-170747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29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rw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seq_mix!$C$6:$K$6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seq_mix!$C$13:$K$13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2"/>
          <c:order val="2"/>
          <c:tx>
            <c:v>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seq_mix!$C$20:$K$20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9412656"/>
        <c:axId val="-1778166496"/>
      </c:scatterChart>
      <c:valAx>
        <c:axId val="-172941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8166496"/>
        <c:crosses val="autoZero"/>
        <c:crossBetween val="midCat"/>
      </c:valAx>
      <c:valAx>
        <c:axId val="-17781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29412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b="1" baseline="0"/>
              <a:t>rw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seq_mix!$C$7:$K$7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seq_mix!$C$14:$K$14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2"/>
          <c:order val="2"/>
          <c:tx>
            <c:v>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seq_mix!$C$21:$K$21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877200"/>
        <c:axId val="-1658354672"/>
      </c:scatterChart>
      <c:valAx>
        <c:axId val="-170787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354672"/>
        <c:crosses val="autoZero"/>
        <c:crossBetween val="midCat"/>
      </c:valAx>
      <c:valAx>
        <c:axId val="-165835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87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seq_mix!$C$12:$K$12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seq_mix!$C$19:$K$19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767952"/>
        <c:axId val="-1729767344"/>
      </c:scatterChart>
      <c:valAx>
        <c:axId val="-173476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29767344"/>
        <c:crosses val="autoZero"/>
        <c:crossBetween val="midCat"/>
      </c:valAx>
      <c:valAx>
        <c:axId val="-172976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476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Seq</a:t>
            </a:r>
            <a:r>
              <a:rPr lang="zh-CN" altLang="en-US" b="1" baseline="0"/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seq_mix!$B$27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seq_mix!$C$5:$K$5</c:f>
              <c:numCache>
                <c:formatCode>General</c:formatCode>
                <c:ptCount val="9"/>
              </c:numCache>
            </c:numRef>
          </c:xVal>
          <c:yVal>
            <c:numRef>
              <c:f>seq_mix!$C$27:$K$27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334352"/>
        <c:axId val="-1658331232"/>
      </c:scatterChart>
      <c:valAx>
        <c:axId val="-165833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331232"/>
        <c:crosses val="autoZero"/>
        <c:crossBetween val="midCat"/>
      </c:valAx>
      <c:valAx>
        <c:axId val="-1658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33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Seq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total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0343831473845796"/>
                  <c:y val="-0.021230104240050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209288723210484"/>
                  <c:y val="-0.0394273364458084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0896951670902075"/>
                  <c:y val="-0.0485259525486871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209288723210484"/>
                  <c:y val="-0.0394273364458083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463865257227821"/>
                  <c:y val="-0.042114958038665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seq_mix!$C$20:$K$20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xVal>
          <c:yVal>
            <c:numRef>
              <c:f>seq_mix!$C$26:$K$26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299232"/>
        <c:axId val="-1658295840"/>
      </c:scatterChart>
      <c:valAx>
        <c:axId val="-165829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295840"/>
        <c:crosses val="autoZero"/>
        <c:crossBetween val="midCat"/>
      </c:valAx>
      <c:valAx>
        <c:axId val="-16582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29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Seq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b="1" baseline="0"/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0269113345691043"/>
                  <c:y val="-0.027232246028928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149507414272802"/>
                  <c:y val="-0.0393354664862302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104655189990961"/>
                  <c:y val="-0.0363096613719049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164458155700082"/>
                  <c:y val="-0.0393354664862302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0224261121409204"/>
                  <c:y val="-0.045387076714881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seq_mix!$C$21:$K$21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xVal>
          <c:yVal>
            <c:numRef>
              <c:f>seq_mix!$C$26:$K$26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391152"/>
        <c:axId val="-1729357760"/>
      </c:scatterChart>
      <c:valAx>
        <c:axId val="-173439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29357760"/>
        <c:crosses val="autoZero"/>
        <c:crossBetween val="midCat"/>
      </c:valAx>
      <c:valAx>
        <c:axId val="-17293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439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rw</a:t>
            </a:r>
            <a:r>
              <a:rPr lang="zh-CN" altLang="en-US" b="1" baseline="0"/>
              <a:t> </a:t>
            </a:r>
            <a:r>
              <a:rPr lang="en-US" b="1"/>
              <a:t>IOPS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rand_mix!$C$6:$K$6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rand_mix!$C$13:$K$13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2"/>
          <c:order val="2"/>
          <c:tx>
            <c:v>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rand_mix!$C$20:$K$20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4502864"/>
        <c:axId val="-1733034160"/>
      </c:scatterChart>
      <c:valAx>
        <c:axId val="-181450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33034160"/>
        <c:crosses val="autoZero"/>
        <c:crossBetween val="midCat"/>
      </c:valAx>
      <c:valAx>
        <c:axId val="-173303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4502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b="1" baseline="0"/>
              <a:t>rw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rand_mix!$C$7:$K$7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rand_mix!$C$14:$K$14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2"/>
          <c:order val="2"/>
          <c:tx>
            <c:v>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rand_mix!$C$21:$K$21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78101680"/>
        <c:axId val="-1778086464"/>
      </c:scatterChart>
      <c:valAx>
        <c:axId val="-177810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8086464"/>
        <c:crosses val="autoZero"/>
        <c:crossBetween val="midCat"/>
      </c:valAx>
      <c:valAx>
        <c:axId val="-177808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810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 baseline="0"/>
              <a:t>Latency(99%)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rand_mix!$C$12:$K$12</c:f>
              <c:numCache>
                <c:formatCode>General</c:formatCode>
                <c:ptCount val="9"/>
              </c:numCache>
            </c:numRef>
          </c:yVal>
          <c:smooth val="1"/>
        </c:ser>
        <c:ser>
          <c:idx val="1"/>
          <c:order val="1"/>
          <c:tx>
            <c:v>write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rand_mix!$C$19:$K$19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78027376"/>
        <c:axId val="-1778024256"/>
      </c:scatterChart>
      <c:valAx>
        <c:axId val="-177802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8024256"/>
        <c:crosses val="autoZero"/>
        <c:crossBetween val="midCat"/>
      </c:valAx>
      <c:valAx>
        <c:axId val="-17780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7802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 baseline="0"/>
              <a:t>io.util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rand_mix!$B$27</c:f>
              <c:strCache>
                <c:ptCount val="1"/>
                <c:pt idx="0">
                  <c:v>io.util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rand_mix!$C$5:$K$5</c:f>
              <c:numCache>
                <c:formatCode>General</c:formatCode>
                <c:ptCount val="9"/>
              </c:numCache>
            </c:numRef>
          </c:xVal>
          <c:yVal>
            <c:numRef>
              <c:f>rand_mix!$C$27:$K$27</c:f>
              <c:numCache>
                <c:formatCode>General</c:formatCode>
                <c:ptCount val="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780560"/>
        <c:axId val="-1815248288"/>
      </c:scatterChart>
      <c:valAx>
        <c:axId val="-170778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queue_depth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5248288"/>
        <c:crosses val="autoZero"/>
        <c:crossBetween val="midCat"/>
      </c:valAx>
      <c:valAx>
        <c:axId val="-18152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io.util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78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sz="1400" b="1" i="0" u="none" strike="noStrike" baseline="0">
                <a:effectLst/>
              </a:rPr>
              <a:t> </a:t>
            </a:r>
            <a:r>
              <a:rPr lang="en-US" altLang="zh-CN" b="1"/>
              <a:t>latency</a:t>
            </a:r>
            <a:r>
              <a:rPr lang="zh-CN" altLang="en-US" b="1"/>
              <a:t> </a:t>
            </a:r>
            <a:r>
              <a:rPr lang="en-US" altLang="zh-CN" b="1"/>
              <a:t>vs</a:t>
            </a:r>
            <a:r>
              <a:rPr lang="zh-CN" altLang="en-US" b="1"/>
              <a:t> </a:t>
            </a:r>
            <a:r>
              <a:rPr lang="en-US" altLang="zh-CN" b="1"/>
              <a:t>IOPS</a:t>
            </a:r>
            <a:r>
              <a:rPr lang="zh-CN" altLang="en-US" b="1"/>
              <a:t> </a:t>
            </a:r>
            <a:r>
              <a:rPr lang="en-US" altLang="zh-CN" b="1"/>
              <a:t>@</a:t>
            </a:r>
            <a:r>
              <a:rPr lang="zh-CN" altLang="en-US" b="1" baseline="0"/>
              <a:t> </a:t>
            </a:r>
            <a:r>
              <a:rPr lang="en-US" altLang="zh-CN" b="1" baseline="0"/>
              <a:t>different</a:t>
            </a:r>
            <a:r>
              <a:rPr lang="zh-CN" altLang="en-US" b="1" baseline="0"/>
              <a:t> </a:t>
            </a:r>
            <a:r>
              <a:rPr lang="en-US" altLang="zh-CN" b="1" baseline="0"/>
              <a:t>QD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total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0343831473845796"/>
                  <c:y val="-0.021230104240050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209288723210484"/>
                  <c:y val="-0.0394273364458084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0896951670902075"/>
                  <c:y val="-0.0485259525486871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209288723210484"/>
                  <c:y val="-0.0394273364458083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463865257227821"/>
                  <c:y val="-0.042114958038665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rand_mix!$C$20:$K$20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xVal>
          <c:yVal>
            <c:numRef>
              <c:f>rand_mix!$C$26:$K$26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7115120"/>
        <c:axId val="-1658363120"/>
      </c:scatterChart>
      <c:valAx>
        <c:axId val="-170711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IOPS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363120"/>
        <c:crosses val="autoZero"/>
        <c:crossBetween val="midCat"/>
      </c:valAx>
      <c:valAx>
        <c:axId val="-165836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latenchy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(99%)</a:t>
                </a:r>
                <a:r>
                  <a:rPr lang="zh-CN" altLang="en-US" b="1" baseline="0"/>
                  <a:t> </a:t>
                </a:r>
                <a:r>
                  <a:rPr lang="en-US" altLang="zh-CN" b="1" baseline="0"/>
                  <a:t>(us)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0711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baseline="0">
                <a:effectLst/>
              </a:rPr>
              <a:t>Random</a:t>
            </a:r>
            <a:r>
              <a:rPr lang="zh-CN" altLang="zh-CN" sz="1400" b="1" i="0" u="none" strike="noStrike" baseline="0">
                <a:effectLst/>
              </a:rPr>
              <a:t> </a:t>
            </a:r>
            <a:r>
              <a:rPr lang="en-US" altLang="zh-CN" sz="1400" b="1" i="0" u="none" strike="noStrike" baseline="0">
                <a:effectLst/>
              </a:rPr>
              <a:t>rw</a:t>
            </a:r>
            <a:r>
              <a:rPr lang="zh-CN" altLang="en-US" b="1" baseline="0"/>
              <a:t> </a:t>
            </a:r>
            <a:r>
              <a:rPr lang="en-US" altLang="zh-CN" b="1" baseline="0"/>
              <a:t>latency</a:t>
            </a:r>
            <a:r>
              <a:rPr lang="zh-CN" altLang="en-US" b="1" baseline="0"/>
              <a:t> </a:t>
            </a:r>
            <a:r>
              <a:rPr lang="en-US" altLang="zh-CN" b="1" baseline="0"/>
              <a:t>vs</a:t>
            </a:r>
            <a:r>
              <a:rPr lang="zh-CN" altLang="en-US" b="1" baseline="0"/>
              <a:t> </a:t>
            </a:r>
            <a:r>
              <a:rPr lang="en-US" altLang="zh-CN" b="1" baseline="0"/>
              <a:t>BW</a:t>
            </a:r>
            <a:r>
              <a:rPr lang="zh-CN" altLang="en-US" b="1" baseline="0"/>
              <a:t> </a:t>
            </a:r>
            <a:r>
              <a:rPr lang="en-US" altLang="zh-CN" b="1" baseline="0"/>
              <a:t>@ different QD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0269113345691043"/>
                  <c:y val="-0.0272322460289286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149507414272802"/>
                  <c:y val="-0.0393354664862302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104655189990961"/>
                  <c:y val="-0.0363096613719049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164458155700082"/>
                  <c:y val="-0.0393354664862302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0224261121409204"/>
                  <c:y val="-0.045387076714881"/>
                </c:manualLayout>
              </c:layout>
              <c:tx>
                <c:rich>
                  <a:bodyPr/>
                  <a:lstStyle/>
                  <a:p>
                    <a:r>
                      <a:rPr lang="is-IS" altLang="zh-CN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is-IS" altLang="zh-CN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is-IS" altLang="zh-CN"/>
                      <a:t>256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rand_mix!$C$21:$K$21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xVal>
          <c:yVal>
            <c:numRef>
              <c:f>rand_mix!$C$26:$K$26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8224192"/>
        <c:axId val="-1658265200"/>
      </c:scatterChart>
      <c:valAx>
        <c:axId val="-165822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BW</a:t>
                </a:r>
                <a:r>
                  <a:rPr lang="zh-CN" altLang="en-US" b="1"/>
                  <a:t> </a:t>
                </a:r>
                <a:r>
                  <a:rPr lang="en-US" altLang="zh-CN" b="1"/>
                  <a:t>(MiB/s)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265200"/>
        <c:crosses val="autoZero"/>
        <c:crossBetween val="midCat"/>
      </c:valAx>
      <c:valAx>
        <c:axId val="-16582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 altLang="zh-CN" b="1"/>
                  <a:t>latenchy (99%)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822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4" Type="http://schemas.openxmlformats.org/officeDocument/2006/relationships/chart" Target="../charts/chart16.xml"/><Relationship Id="rId5" Type="http://schemas.openxmlformats.org/officeDocument/2006/relationships/chart" Target="../charts/chart17.xml"/><Relationship Id="rId6" Type="http://schemas.openxmlformats.org/officeDocument/2006/relationships/chart" Target="../charts/chart18.xml"/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5" Type="http://schemas.openxmlformats.org/officeDocument/2006/relationships/chart" Target="../charts/chart23.xml"/><Relationship Id="rId6" Type="http://schemas.openxmlformats.org/officeDocument/2006/relationships/chart" Target="../charts/chart24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4" Type="http://schemas.openxmlformats.org/officeDocument/2006/relationships/chart" Target="../charts/chart28.xml"/><Relationship Id="rId5" Type="http://schemas.openxmlformats.org/officeDocument/2006/relationships/chart" Target="../charts/chart29.xml"/><Relationship Id="rId6" Type="http://schemas.openxmlformats.org/officeDocument/2006/relationships/chart" Target="../charts/chart30.xml"/><Relationship Id="rId1" Type="http://schemas.openxmlformats.org/officeDocument/2006/relationships/chart" Target="../charts/chart25.xml"/><Relationship Id="rId2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<Relationship Id="rId6" Type="http://schemas.openxmlformats.org/officeDocument/2006/relationships/chart" Target="../charts/chart36.xml"/><Relationship Id="rId1" Type="http://schemas.openxmlformats.org/officeDocument/2006/relationships/chart" Target="../charts/chart31.xml"/><Relationship Id="rId2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0</xdr:rowOff>
        </xdr:from>
        <xdr:to>
          <xdr:col>4</xdr:col>
          <xdr:colOff>228600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clear_log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21</xdr:row>
      <xdr:rowOff>0</xdr:rowOff>
    </xdr:from>
    <xdr:to>
      <xdr:col>10</xdr:col>
      <xdr:colOff>177800</xdr:colOff>
      <xdr:row>41</xdr:row>
      <xdr:rowOff>139700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21</xdr:row>
      <xdr:rowOff>0</xdr:rowOff>
    </xdr:from>
    <xdr:to>
      <xdr:col>20</xdr:col>
      <xdr:colOff>698500</xdr:colOff>
      <xdr:row>41</xdr:row>
      <xdr:rowOff>139700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42</xdr:row>
      <xdr:rowOff>141112</xdr:rowOff>
    </xdr:from>
    <xdr:to>
      <xdr:col>10</xdr:col>
      <xdr:colOff>162748</xdr:colOff>
      <xdr:row>63</xdr:row>
      <xdr:rowOff>80904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42</xdr:row>
      <xdr:rowOff>141112</xdr:rowOff>
    </xdr:from>
    <xdr:to>
      <xdr:col>20</xdr:col>
      <xdr:colOff>683448</xdr:colOff>
      <xdr:row>63</xdr:row>
      <xdr:rowOff>80904</xdr:rowOff>
    </xdr:to>
    <xdr:graphicFrame macro="">
      <xdr:nvGraphicFramePr>
        <xdr:cNvPr id="20" name="图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520242</xdr:colOff>
      <xdr:row>65</xdr:row>
      <xdr:rowOff>0</xdr:rowOff>
    </xdr:from>
    <xdr:to>
      <xdr:col>10</xdr:col>
      <xdr:colOff>177342</xdr:colOff>
      <xdr:row>85</xdr:row>
      <xdr:rowOff>139700</xdr:rowOff>
    </xdr:to>
    <xdr:graphicFrame macro="">
      <xdr:nvGraphicFramePr>
        <xdr:cNvPr id="26" name="图表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431342</xdr:colOff>
      <xdr:row>65</xdr:row>
      <xdr:rowOff>0</xdr:rowOff>
    </xdr:from>
    <xdr:to>
      <xdr:col>20</xdr:col>
      <xdr:colOff>698042</xdr:colOff>
      <xdr:row>85</xdr:row>
      <xdr:rowOff>139700</xdr:rowOff>
    </xdr:to>
    <xdr:graphicFrame macro="">
      <xdr:nvGraphicFramePr>
        <xdr:cNvPr id="27" name="图表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10003</xdr:colOff>
          <xdr:row>0</xdr:row>
          <xdr:rowOff>11688</xdr:rowOff>
        </xdr:from>
        <xdr:to>
          <xdr:col>4</xdr:col>
          <xdr:colOff>398645</xdr:colOff>
          <xdr:row>1</xdr:row>
          <xdr:rowOff>175889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parse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14161</xdr:rowOff>
        </xdr:from>
        <xdr:to>
          <xdr:col>6</xdr:col>
          <xdr:colOff>406400</xdr:colOff>
          <xdr:row>1</xdr:row>
          <xdr:rowOff>179261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21</xdr:row>
      <xdr:rowOff>0</xdr:rowOff>
    </xdr:from>
    <xdr:to>
      <xdr:col>10</xdr:col>
      <xdr:colOff>177800</xdr:colOff>
      <xdr:row>41</xdr:row>
      <xdr:rowOff>139700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21</xdr:row>
      <xdr:rowOff>0</xdr:rowOff>
    </xdr:from>
    <xdr:to>
      <xdr:col>20</xdr:col>
      <xdr:colOff>698500</xdr:colOff>
      <xdr:row>41</xdr:row>
      <xdr:rowOff>139700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42</xdr:row>
      <xdr:rowOff>141112</xdr:rowOff>
    </xdr:from>
    <xdr:to>
      <xdr:col>10</xdr:col>
      <xdr:colOff>162748</xdr:colOff>
      <xdr:row>63</xdr:row>
      <xdr:rowOff>80904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42</xdr:row>
      <xdr:rowOff>141112</xdr:rowOff>
    </xdr:from>
    <xdr:to>
      <xdr:col>20</xdr:col>
      <xdr:colOff>683448</xdr:colOff>
      <xdr:row>63</xdr:row>
      <xdr:rowOff>80904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520242</xdr:colOff>
      <xdr:row>65</xdr:row>
      <xdr:rowOff>0</xdr:rowOff>
    </xdr:from>
    <xdr:to>
      <xdr:col>10</xdr:col>
      <xdr:colOff>177342</xdr:colOff>
      <xdr:row>85</xdr:row>
      <xdr:rowOff>139700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431342</xdr:colOff>
      <xdr:row>65</xdr:row>
      <xdr:rowOff>0</xdr:rowOff>
    </xdr:from>
    <xdr:to>
      <xdr:col>20</xdr:col>
      <xdr:colOff>698042</xdr:colOff>
      <xdr:row>85</xdr:row>
      <xdr:rowOff>139700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4721</xdr:colOff>
          <xdr:row>0</xdr:row>
          <xdr:rowOff>28322</xdr:rowOff>
        </xdr:from>
        <xdr:to>
          <xdr:col>4</xdr:col>
          <xdr:colOff>385720</xdr:colOff>
          <xdr:row>1</xdr:row>
          <xdr:rowOff>192523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parse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25400</xdr:rowOff>
        </xdr:from>
        <xdr:to>
          <xdr:col>6</xdr:col>
          <xdr:colOff>406400</xdr:colOff>
          <xdr:row>1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21</xdr:row>
      <xdr:rowOff>0</xdr:rowOff>
    </xdr:from>
    <xdr:to>
      <xdr:col>10</xdr:col>
      <xdr:colOff>177800</xdr:colOff>
      <xdr:row>41</xdr:row>
      <xdr:rowOff>139700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21</xdr:row>
      <xdr:rowOff>0</xdr:rowOff>
    </xdr:from>
    <xdr:to>
      <xdr:col>20</xdr:col>
      <xdr:colOff>698500</xdr:colOff>
      <xdr:row>41</xdr:row>
      <xdr:rowOff>139700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42</xdr:row>
      <xdr:rowOff>141112</xdr:rowOff>
    </xdr:from>
    <xdr:to>
      <xdr:col>10</xdr:col>
      <xdr:colOff>162748</xdr:colOff>
      <xdr:row>63</xdr:row>
      <xdr:rowOff>80904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42</xdr:row>
      <xdr:rowOff>141112</xdr:rowOff>
    </xdr:from>
    <xdr:to>
      <xdr:col>20</xdr:col>
      <xdr:colOff>683448</xdr:colOff>
      <xdr:row>63</xdr:row>
      <xdr:rowOff>80904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520242</xdr:colOff>
      <xdr:row>65</xdr:row>
      <xdr:rowOff>0</xdr:rowOff>
    </xdr:from>
    <xdr:to>
      <xdr:col>10</xdr:col>
      <xdr:colOff>177342</xdr:colOff>
      <xdr:row>85</xdr:row>
      <xdr:rowOff>139700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431342</xdr:colOff>
      <xdr:row>65</xdr:row>
      <xdr:rowOff>0</xdr:rowOff>
    </xdr:from>
    <xdr:to>
      <xdr:col>20</xdr:col>
      <xdr:colOff>698042</xdr:colOff>
      <xdr:row>85</xdr:row>
      <xdr:rowOff>139700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16297</xdr:colOff>
          <xdr:row>0</xdr:row>
          <xdr:rowOff>42483</xdr:rowOff>
        </xdr:from>
        <xdr:to>
          <xdr:col>4</xdr:col>
          <xdr:colOff>404939</xdr:colOff>
          <xdr:row>2</xdr:row>
          <xdr:rowOff>4383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parse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13937</xdr:colOff>
          <xdr:row>0</xdr:row>
          <xdr:rowOff>22478</xdr:rowOff>
        </xdr:from>
        <xdr:to>
          <xdr:col>6</xdr:col>
          <xdr:colOff>402580</xdr:colOff>
          <xdr:row>1</xdr:row>
          <xdr:rowOff>186679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21</xdr:row>
      <xdr:rowOff>0</xdr:rowOff>
    </xdr:from>
    <xdr:to>
      <xdr:col>10</xdr:col>
      <xdr:colOff>177800</xdr:colOff>
      <xdr:row>41</xdr:row>
      <xdr:rowOff>139700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21</xdr:row>
      <xdr:rowOff>0</xdr:rowOff>
    </xdr:from>
    <xdr:to>
      <xdr:col>20</xdr:col>
      <xdr:colOff>698500</xdr:colOff>
      <xdr:row>41</xdr:row>
      <xdr:rowOff>139700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42</xdr:row>
      <xdr:rowOff>141112</xdr:rowOff>
    </xdr:from>
    <xdr:to>
      <xdr:col>10</xdr:col>
      <xdr:colOff>162748</xdr:colOff>
      <xdr:row>63</xdr:row>
      <xdr:rowOff>80904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42</xdr:row>
      <xdr:rowOff>141112</xdr:rowOff>
    </xdr:from>
    <xdr:to>
      <xdr:col>20</xdr:col>
      <xdr:colOff>683448</xdr:colOff>
      <xdr:row>63</xdr:row>
      <xdr:rowOff>80904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520242</xdr:colOff>
      <xdr:row>65</xdr:row>
      <xdr:rowOff>0</xdr:rowOff>
    </xdr:from>
    <xdr:to>
      <xdr:col>10</xdr:col>
      <xdr:colOff>177342</xdr:colOff>
      <xdr:row>85</xdr:row>
      <xdr:rowOff>139700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431342</xdr:colOff>
      <xdr:row>65</xdr:row>
      <xdr:rowOff>0</xdr:rowOff>
    </xdr:from>
    <xdr:to>
      <xdr:col>20</xdr:col>
      <xdr:colOff>698042</xdr:colOff>
      <xdr:row>85</xdr:row>
      <xdr:rowOff>139700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16297</xdr:colOff>
          <xdr:row>0</xdr:row>
          <xdr:rowOff>37088</xdr:rowOff>
        </xdr:from>
        <xdr:to>
          <xdr:col>4</xdr:col>
          <xdr:colOff>404939</xdr:colOff>
          <xdr:row>1</xdr:row>
          <xdr:rowOff>201289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parse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820441</xdr:colOff>
          <xdr:row>0</xdr:row>
          <xdr:rowOff>48327</xdr:rowOff>
        </xdr:from>
        <xdr:to>
          <xdr:col>6</xdr:col>
          <xdr:colOff>393699</xdr:colOff>
          <xdr:row>2</xdr:row>
          <xdr:rowOff>10227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30</xdr:row>
      <xdr:rowOff>125146</xdr:rowOff>
    </xdr:from>
    <xdr:to>
      <xdr:col>10</xdr:col>
      <xdr:colOff>177800</xdr:colOff>
      <xdr:row>51</xdr:row>
      <xdr:rowOff>62545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30</xdr:row>
      <xdr:rowOff>125146</xdr:rowOff>
    </xdr:from>
    <xdr:to>
      <xdr:col>20</xdr:col>
      <xdr:colOff>698500</xdr:colOff>
      <xdr:row>51</xdr:row>
      <xdr:rowOff>62545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52</xdr:row>
      <xdr:rowOff>63957</xdr:rowOff>
    </xdr:from>
    <xdr:to>
      <xdr:col>10</xdr:col>
      <xdr:colOff>162748</xdr:colOff>
      <xdr:row>73</xdr:row>
      <xdr:rowOff>4005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52</xdr:row>
      <xdr:rowOff>63957</xdr:rowOff>
    </xdr:from>
    <xdr:to>
      <xdr:col>20</xdr:col>
      <xdr:colOff>683448</xdr:colOff>
      <xdr:row>73</xdr:row>
      <xdr:rowOff>4005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505114</xdr:colOff>
      <xdr:row>74</xdr:row>
      <xdr:rowOff>0</xdr:rowOff>
    </xdr:from>
    <xdr:to>
      <xdr:col>10</xdr:col>
      <xdr:colOff>152507</xdr:colOff>
      <xdr:row>94</xdr:row>
      <xdr:rowOff>144808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406507</xdr:colOff>
      <xdr:row>74</xdr:row>
      <xdr:rowOff>0</xdr:rowOff>
    </xdr:from>
    <xdr:to>
      <xdr:col>20</xdr:col>
      <xdr:colOff>651496</xdr:colOff>
      <xdr:row>94</xdr:row>
      <xdr:rowOff>144808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520700</xdr:colOff>
      <xdr:row>30</xdr:row>
      <xdr:rowOff>125146</xdr:rowOff>
    </xdr:from>
    <xdr:to>
      <xdr:col>10</xdr:col>
      <xdr:colOff>177800</xdr:colOff>
      <xdr:row>51</xdr:row>
      <xdr:rowOff>62545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431800</xdr:colOff>
      <xdr:row>30</xdr:row>
      <xdr:rowOff>125146</xdr:rowOff>
    </xdr:from>
    <xdr:to>
      <xdr:col>20</xdr:col>
      <xdr:colOff>698500</xdr:colOff>
      <xdr:row>51</xdr:row>
      <xdr:rowOff>62545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505648</xdr:colOff>
      <xdr:row>52</xdr:row>
      <xdr:rowOff>63957</xdr:rowOff>
    </xdr:from>
    <xdr:to>
      <xdr:col>10</xdr:col>
      <xdr:colOff>162748</xdr:colOff>
      <xdr:row>73</xdr:row>
      <xdr:rowOff>4005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416748</xdr:colOff>
      <xdr:row>52</xdr:row>
      <xdr:rowOff>63957</xdr:rowOff>
    </xdr:from>
    <xdr:to>
      <xdr:col>20</xdr:col>
      <xdr:colOff>683448</xdr:colOff>
      <xdr:row>73</xdr:row>
      <xdr:rowOff>4005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505114</xdr:colOff>
      <xdr:row>74</xdr:row>
      <xdr:rowOff>0</xdr:rowOff>
    </xdr:from>
    <xdr:to>
      <xdr:col>10</xdr:col>
      <xdr:colOff>152507</xdr:colOff>
      <xdr:row>94</xdr:row>
      <xdr:rowOff>144808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406507</xdr:colOff>
      <xdr:row>74</xdr:row>
      <xdr:rowOff>0</xdr:rowOff>
    </xdr:from>
    <xdr:to>
      <xdr:col>20</xdr:col>
      <xdr:colOff>651496</xdr:colOff>
      <xdr:row>94</xdr:row>
      <xdr:rowOff>144808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ark.intel.com/products/93006/Intel-SSD-DC-S3520-Series-1_2TB-2_5in-SATA-6Gbs-3D1-ML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trlProp" Target="../ctrlProps/ctrlProp7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4" Type="http://schemas.openxmlformats.org/officeDocument/2006/relationships/ctrlProp" Target="../ctrlProps/ctrlProp9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>
    <tabColor rgb="FFFF0000"/>
  </sheetPr>
  <dimension ref="A1:A126"/>
  <sheetViews>
    <sheetView showRuler="0" workbookViewId="0">
      <selection activeCell="D15" sqref="D15"/>
    </sheetView>
  </sheetViews>
  <sheetFormatPr baseColWidth="10" defaultRowHeight="16" x14ac:dyDescent="0.2"/>
  <sheetData>
    <row r="1" spans="1:1" ht="18" x14ac:dyDescent="0.2">
      <c r="A1" s="28"/>
    </row>
    <row r="2" spans="1:1" ht="18" x14ac:dyDescent="0.2">
      <c r="A2" s="28"/>
    </row>
    <row r="3" spans="1:1" ht="18" x14ac:dyDescent="0.2">
      <c r="A3" s="28"/>
    </row>
    <row r="4" spans="1:1" ht="18" x14ac:dyDescent="0.2">
      <c r="A4" s="28"/>
    </row>
    <row r="5" spans="1:1" ht="18" x14ac:dyDescent="0.2">
      <c r="A5" s="28"/>
    </row>
    <row r="6" spans="1:1" ht="18" x14ac:dyDescent="0.2">
      <c r="A6" s="28"/>
    </row>
    <row r="7" spans="1:1" ht="18" x14ac:dyDescent="0.2">
      <c r="A7" s="28"/>
    </row>
    <row r="8" spans="1:1" ht="18" x14ac:dyDescent="0.2">
      <c r="A8" s="28"/>
    </row>
    <row r="9" spans="1:1" ht="18" x14ac:dyDescent="0.2">
      <c r="A9" s="28"/>
    </row>
    <row r="10" spans="1:1" ht="18" x14ac:dyDescent="0.2">
      <c r="A10" s="28"/>
    </row>
    <row r="11" spans="1:1" ht="18" x14ac:dyDescent="0.2">
      <c r="A11" s="28"/>
    </row>
    <row r="12" spans="1:1" ht="18" x14ac:dyDescent="0.2">
      <c r="A12" s="28"/>
    </row>
    <row r="13" spans="1:1" ht="18" x14ac:dyDescent="0.2">
      <c r="A13" s="28"/>
    </row>
    <row r="14" spans="1:1" ht="18" x14ac:dyDescent="0.2">
      <c r="A14" s="28"/>
    </row>
    <row r="15" spans="1:1" ht="18" x14ac:dyDescent="0.2">
      <c r="A15" s="28"/>
    </row>
    <row r="16" spans="1:1" ht="18" x14ac:dyDescent="0.2">
      <c r="A16" s="28"/>
    </row>
    <row r="17" spans="1:1" ht="18" x14ac:dyDescent="0.2">
      <c r="A17" s="28"/>
    </row>
    <row r="18" spans="1:1" ht="18" x14ac:dyDescent="0.2">
      <c r="A18" s="28"/>
    </row>
    <row r="19" spans="1:1" ht="18" x14ac:dyDescent="0.2">
      <c r="A19" s="28"/>
    </row>
    <row r="20" spans="1:1" ht="18" x14ac:dyDescent="0.2">
      <c r="A20" s="28"/>
    </row>
    <row r="21" spans="1:1" ht="18" x14ac:dyDescent="0.2">
      <c r="A21" s="28"/>
    </row>
    <row r="22" spans="1:1" ht="18" x14ac:dyDescent="0.2">
      <c r="A22" s="28"/>
    </row>
    <row r="23" spans="1:1" ht="18" x14ac:dyDescent="0.2">
      <c r="A23" s="28"/>
    </row>
    <row r="24" spans="1:1" ht="18" x14ac:dyDescent="0.2">
      <c r="A24" s="28"/>
    </row>
    <row r="25" spans="1:1" ht="18" x14ac:dyDescent="0.2">
      <c r="A25" s="28"/>
    </row>
    <row r="26" spans="1:1" ht="18" x14ac:dyDescent="0.2">
      <c r="A26" s="28"/>
    </row>
    <row r="27" spans="1:1" ht="18" x14ac:dyDescent="0.2">
      <c r="A27" s="28"/>
    </row>
    <row r="28" spans="1:1" ht="18" x14ac:dyDescent="0.2">
      <c r="A28" s="28"/>
    </row>
    <row r="29" spans="1:1" ht="18" x14ac:dyDescent="0.2">
      <c r="A29" s="28"/>
    </row>
    <row r="30" spans="1:1" ht="18" x14ac:dyDescent="0.2">
      <c r="A30" s="28"/>
    </row>
    <row r="31" spans="1:1" ht="18" x14ac:dyDescent="0.2">
      <c r="A31" s="28"/>
    </row>
    <row r="32" spans="1:1" ht="18" x14ac:dyDescent="0.2">
      <c r="A32" s="28"/>
    </row>
    <row r="33" spans="1:1" ht="18" x14ac:dyDescent="0.2">
      <c r="A33" s="28"/>
    </row>
    <row r="34" spans="1:1" ht="18" x14ac:dyDescent="0.2">
      <c r="A34" s="28"/>
    </row>
    <row r="35" spans="1:1" ht="18" x14ac:dyDescent="0.2">
      <c r="A35" s="28"/>
    </row>
    <row r="36" spans="1:1" ht="18" x14ac:dyDescent="0.2">
      <c r="A36" s="28"/>
    </row>
    <row r="37" spans="1:1" ht="18" x14ac:dyDescent="0.2">
      <c r="A37" s="28"/>
    </row>
    <row r="38" spans="1:1" ht="18" x14ac:dyDescent="0.2">
      <c r="A38" s="28"/>
    </row>
    <row r="39" spans="1:1" ht="18" x14ac:dyDescent="0.2">
      <c r="A39" s="28"/>
    </row>
    <row r="40" spans="1:1" ht="18" x14ac:dyDescent="0.2">
      <c r="A40" s="28"/>
    </row>
    <row r="41" spans="1:1" ht="18" x14ac:dyDescent="0.2">
      <c r="A41" s="28"/>
    </row>
    <row r="42" spans="1:1" ht="18" x14ac:dyDescent="0.2">
      <c r="A42" s="28"/>
    </row>
    <row r="43" spans="1:1" ht="18" x14ac:dyDescent="0.2">
      <c r="A43" s="28"/>
    </row>
    <row r="44" spans="1:1" ht="18" x14ac:dyDescent="0.2">
      <c r="A44" s="28"/>
    </row>
    <row r="45" spans="1:1" ht="18" x14ac:dyDescent="0.2">
      <c r="A45" s="28"/>
    </row>
    <row r="46" spans="1:1" ht="18" x14ac:dyDescent="0.2">
      <c r="A46" s="28"/>
    </row>
    <row r="47" spans="1:1" ht="18" x14ac:dyDescent="0.2">
      <c r="A47" s="28"/>
    </row>
    <row r="48" spans="1:1" ht="18" x14ac:dyDescent="0.2">
      <c r="A48" s="28"/>
    </row>
    <row r="49" spans="1:1" ht="18" x14ac:dyDescent="0.2">
      <c r="A49" s="28"/>
    </row>
    <row r="50" spans="1:1" ht="18" x14ac:dyDescent="0.2">
      <c r="A50" s="28"/>
    </row>
    <row r="51" spans="1:1" ht="18" x14ac:dyDescent="0.2">
      <c r="A51" s="28"/>
    </row>
    <row r="52" spans="1:1" ht="18" x14ac:dyDescent="0.2">
      <c r="A52" s="28"/>
    </row>
    <row r="53" spans="1:1" ht="18" x14ac:dyDescent="0.2">
      <c r="A53" s="28"/>
    </row>
    <row r="54" spans="1:1" ht="18" x14ac:dyDescent="0.2">
      <c r="A54" s="28"/>
    </row>
    <row r="55" spans="1:1" ht="18" x14ac:dyDescent="0.2">
      <c r="A55" s="28"/>
    </row>
    <row r="56" spans="1:1" ht="18" x14ac:dyDescent="0.2">
      <c r="A56" s="28"/>
    </row>
    <row r="57" spans="1:1" ht="18" x14ac:dyDescent="0.2">
      <c r="A57" s="28"/>
    </row>
    <row r="58" spans="1:1" ht="18" x14ac:dyDescent="0.2">
      <c r="A58" s="28"/>
    </row>
    <row r="59" spans="1:1" ht="18" x14ac:dyDescent="0.2">
      <c r="A59" s="28"/>
    </row>
    <row r="60" spans="1:1" ht="18" x14ac:dyDescent="0.2">
      <c r="A60" s="28"/>
    </row>
    <row r="61" spans="1:1" ht="18" x14ac:dyDescent="0.2">
      <c r="A61" s="28"/>
    </row>
    <row r="62" spans="1:1" ht="18" x14ac:dyDescent="0.2">
      <c r="A62" s="28"/>
    </row>
    <row r="63" spans="1:1" ht="18" x14ac:dyDescent="0.2">
      <c r="A63" s="28"/>
    </row>
    <row r="64" spans="1:1" ht="18" x14ac:dyDescent="0.2">
      <c r="A64" s="28"/>
    </row>
    <row r="65" spans="1:1" ht="18" x14ac:dyDescent="0.2">
      <c r="A65" s="28"/>
    </row>
    <row r="66" spans="1:1" ht="18" x14ac:dyDescent="0.2">
      <c r="A66" s="28"/>
    </row>
    <row r="67" spans="1:1" ht="18" x14ac:dyDescent="0.2">
      <c r="A67" s="28"/>
    </row>
    <row r="69" spans="1:1" ht="18" x14ac:dyDescent="0.2">
      <c r="A69" s="28"/>
    </row>
    <row r="70" spans="1:1" ht="18" x14ac:dyDescent="0.2">
      <c r="A70" s="28"/>
    </row>
    <row r="71" spans="1:1" ht="18" x14ac:dyDescent="0.2">
      <c r="A71" s="28"/>
    </row>
    <row r="72" spans="1:1" ht="18" x14ac:dyDescent="0.2">
      <c r="A72" s="28"/>
    </row>
    <row r="73" spans="1:1" ht="18" x14ac:dyDescent="0.2">
      <c r="A73" s="28"/>
    </row>
    <row r="74" spans="1:1" ht="18" x14ac:dyDescent="0.2">
      <c r="A74" s="28"/>
    </row>
    <row r="75" spans="1:1" ht="18" x14ac:dyDescent="0.2">
      <c r="A75" s="28"/>
    </row>
    <row r="76" spans="1:1" ht="18" x14ac:dyDescent="0.2">
      <c r="A76" s="28"/>
    </row>
    <row r="77" spans="1:1" ht="18" x14ac:dyDescent="0.2">
      <c r="A77" s="28"/>
    </row>
    <row r="78" spans="1:1" ht="18" x14ac:dyDescent="0.2">
      <c r="A78" s="28"/>
    </row>
    <row r="79" spans="1:1" ht="18" x14ac:dyDescent="0.2">
      <c r="A79" s="28"/>
    </row>
    <row r="80" spans="1:1" ht="18" x14ac:dyDescent="0.2">
      <c r="A80" s="28"/>
    </row>
    <row r="81" spans="1:1" ht="18" x14ac:dyDescent="0.2">
      <c r="A81" s="28"/>
    </row>
    <row r="82" spans="1:1" ht="18" x14ac:dyDescent="0.2">
      <c r="A82" s="28"/>
    </row>
    <row r="83" spans="1:1" ht="18" x14ac:dyDescent="0.2">
      <c r="A83" s="28"/>
    </row>
    <row r="84" spans="1:1" ht="18" x14ac:dyDescent="0.2">
      <c r="A84" s="28"/>
    </row>
    <row r="85" spans="1:1" ht="18" x14ac:dyDescent="0.2">
      <c r="A85" s="28"/>
    </row>
    <row r="86" spans="1:1" ht="18" x14ac:dyDescent="0.2">
      <c r="A86" s="28"/>
    </row>
    <row r="87" spans="1:1" ht="18" x14ac:dyDescent="0.2">
      <c r="A87" s="28"/>
    </row>
    <row r="89" spans="1:1" ht="18" x14ac:dyDescent="0.2">
      <c r="A89" s="28"/>
    </row>
    <row r="90" spans="1:1" ht="18" x14ac:dyDescent="0.2">
      <c r="A90" s="28"/>
    </row>
    <row r="91" spans="1:1" ht="18" x14ac:dyDescent="0.2">
      <c r="A91" s="28"/>
    </row>
    <row r="92" spans="1:1" ht="18" x14ac:dyDescent="0.2">
      <c r="A92" s="28"/>
    </row>
    <row r="93" spans="1:1" ht="18" x14ac:dyDescent="0.2">
      <c r="A93" s="28"/>
    </row>
    <row r="94" spans="1:1" ht="18" x14ac:dyDescent="0.2">
      <c r="A94" s="28"/>
    </row>
    <row r="95" spans="1:1" ht="18" x14ac:dyDescent="0.2">
      <c r="A95" s="28"/>
    </row>
    <row r="96" spans="1:1" ht="18" x14ac:dyDescent="0.2">
      <c r="A96" s="28"/>
    </row>
    <row r="99" spans="1:1" ht="18" x14ac:dyDescent="0.2">
      <c r="A99" s="28"/>
    </row>
    <row r="100" spans="1:1" ht="18" x14ac:dyDescent="0.2">
      <c r="A100" s="28"/>
    </row>
    <row r="101" spans="1:1" ht="18" x14ac:dyDescent="0.2">
      <c r="A101" s="28"/>
    </row>
    <row r="102" spans="1:1" ht="18" x14ac:dyDescent="0.2">
      <c r="A102" s="28"/>
    </row>
    <row r="103" spans="1:1" ht="18" x14ac:dyDescent="0.2">
      <c r="A103" s="28"/>
    </row>
    <row r="104" spans="1:1" ht="18" x14ac:dyDescent="0.2">
      <c r="A104" s="28"/>
    </row>
    <row r="105" spans="1:1" ht="18" x14ac:dyDescent="0.2">
      <c r="A105" s="28"/>
    </row>
    <row r="106" spans="1:1" ht="18" x14ac:dyDescent="0.2">
      <c r="A106" s="28"/>
    </row>
    <row r="107" spans="1:1" ht="18" x14ac:dyDescent="0.2">
      <c r="A107" s="28"/>
    </row>
    <row r="108" spans="1:1" ht="18" x14ac:dyDescent="0.2">
      <c r="A108" s="28"/>
    </row>
    <row r="109" spans="1:1" ht="18" x14ac:dyDescent="0.2">
      <c r="A109" s="28"/>
    </row>
    <row r="110" spans="1:1" ht="18" x14ac:dyDescent="0.2">
      <c r="A110" s="28"/>
    </row>
    <row r="111" spans="1:1" ht="18" x14ac:dyDescent="0.2">
      <c r="A111" s="28"/>
    </row>
    <row r="114" spans="1:1" ht="18" x14ac:dyDescent="0.2">
      <c r="A114" s="28"/>
    </row>
    <row r="115" spans="1:1" ht="18" x14ac:dyDescent="0.2">
      <c r="A115" s="28"/>
    </row>
    <row r="116" spans="1:1" ht="18" x14ac:dyDescent="0.2">
      <c r="A116" s="28"/>
    </row>
    <row r="117" spans="1:1" ht="18" x14ac:dyDescent="0.2">
      <c r="A117" s="28"/>
    </row>
    <row r="118" spans="1:1" ht="18" x14ac:dyDescent="0.2">
      <c r="A118" s="28"/>
    </row>
    <row r="119" spans="1:1" ht="18" x14ac:dyDescent="0.2">
      <c r="A119" s="28"/>
    </row>
    <row r="120" spans="1:1" ht="18" x14ac:dyDescent="0.2">
      <c r="A120" s="28"/>
    </row>
    <row r="121" spans="1:1" ht="18" x14ac:dyDescent="0.2">
      <c r="A121" s="28"/>
    </row>
    <row r="122" spans="1:1" ht="18" x14ac:dyDescent="0.2">
      <c r="A122" s="28"/>
    </row>
    <row r="123" spans="1:1" ht="18" x14ac:dyDescent="0.2">
      <c r="A123" s="28"/>
    </row>
    <row r="124" spans="1:1" ht="18" x14ac:dyDescent="0.2">
      <c r="A124" s="28"/>
    </row>
    <row r="125" spans="1:1" ht="18" x14ac:dyDescent="0.2">
      <c r="A125" s="28"/>
    </row>
    <row r="126" spans="1:1" ht="18" x14ac:dyDescent="0.2">
      <c r="A126" s="28"/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_xludf.clear">
                <anchor moveWithCells="1" sizeWithCells="1">
                  <from>
                    <xdr:col>2</xdr:col>
                    <xdr:colOff>533400</xdr:colOff>
                    <xdr:row>0</xdr:row>
                    <xdr:rowOff>0</xdr:rowOff>
                  </from>
                  <to>
                    <xdr:col>4</xdr:col>
                    <xdr:colOff>228600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B2:H39"/>
  <sheetViews>
    <sheetView showRuler="0" workbookViewId="0">
      <selection activeCell="G19" sqref="G19"/>
    </sheetView>
  </sheetViews>
  <sheetFormatPr baseColWidth="10" defaultRowHeight="16" x14ac:dyDescent="0.2"/>
  <cols>
    <col min="2" max="2" width="34.83203125" customWidth="1"/>
    <col min="3" max="3" width="23.1640625" bestFit="1" customWidth="1"/>
    <col min="4" max="4" width="22.5" bestFit="1" customWidth="1"/>
    <col min="5" max="5" width="23" bestFit="1" customWidth="1"/>
    <col min="6" max="6" width="23.5" bestFit="1" customWidth="1"/>
    <col min="7" max="7" width="23" bestFit="1" customWidth="1"/>
    <col min="8" max="8" width="23.5" bestFit="1" customWidth="1"/>
  </cols>
  <sheetData>
    <row r="2" spans="2:8" ht="23" x14ac:dyDescent="0.25">
      <c r="B2" s="26" t="s">
        <v>2</v>
      </c>
      <c r="C2" s="2" t="s">
        <v>13</v>
      </c>
      <c r="D2" s="3" t="s">
        <v>16</v>
      </c>
      <c r="E2" s="3"/>
      <c r="F2" s="3"/>
      <c r="G2" s="3"/>
      <c r="H2" s="3"/>
    </row>
    <row r="3" spans="2:8" ht="23" x14ac:dyDescent="0.25">
      <c r="B3" s="4"/>
      <c r="C3" s="2"/>
      <c r="D3" s="3"/>
      <c r="E3" s="3" t="s">
        <v>3</v>
      </c>
      <c r="F3" s="3" t="s">
        <v>3</v>
      </c>
      <c r="G3" s="3" t="s">
        <v>15</v>
      </c>
      <c r="H3" s="3" t="s">
        <v>15</v>
      </c>
    </row>
    <row r="4" spans="2:8" ht="23" x14ac:dyDescent="0.25">
      <c r="B4" s="27" t="s">
        <v>14</v>
      </c>
      <c r="C4" s="12" t="s">
        <v>18</v>
      </c>
      <c r="D4" s="12" t="s">
        <v>19</v>
      </c>
      <c r="E4" s="13" t="s">
        <v>0</v>
      </c>
      <c r="F4" s="13" t="s">
        <v>1</v>
      </c>
      <c r="G4" s="14" t="s">
        <v>5</v>
      </c>
      <c r="H4" s="14" t="s">
        <v>4</v>
      </c>
    </row>
    <row r="5" spans="2:8" ht="23" x14ac:dyDescent="0.25">
      <c r="B5" s="5"/>
      <c r="C5" s="6">
        <v>430</v>
      </c>
      <c r="D5" s="6">
        <v>363</v>
      </c>
      <c r="E5" s="6">
        <v>67500</v>
      </c>
      <c r="F5" s="6">
        <v>17500</v>
      </c>
      <c r="G5" s="6">
        <v>40</v>
      </c>
      <c r="H5" s="6">
        <v>42</v>
      </c>
    </row>
    <row r="6" spans="2:8" ht="23" x14ac:dyDescent="0.25">
      <c r="C6" s="6" t="s">
        <v>20</v>
      </c>
      <c r="D6" s="6" t="s">
        <v>21</v>
      </c>
    </row>
    <row r="9" spans="2:8" ht="23" x14ac:dyDescent="0.25">
      <c r="B9" s="27" t="s">
        <v>17</v>
      </c>
      <c r="C9" s="12" t="s">
        <v>18</v>
      </c>
      <c r="D9" s="12" t="s">
        <v>19</v>
      </c>
      <c r="E9" s="13" t="s">
        <v>0</v>
      </c>
      <c r="F9" s="13" t="s">
        <v>1</v>
      </c>
    </row>
    <row r="10" spans="2:8" ht="23" x14ac:dyDescent="0.25">
      <c r="B10" s="5"/>
      <c r="C10" s="6">
        <v>1770</v>
      </c>
      <c r="D10" s="6">
        <v>700</v>
      </c>
      <c r="E10" s="6">
        <v>136000</v>
      </c>
      <c r="F10" s="6">
        <v>35900</v>
      </c>
    </row>
    <row r="11" spans="2:8" x14ac:dyDescent="0.2">
      <c r="B11" t="s">
        <v>73</v>
      </c>
      <c r="C11" s="15" t="s">
        <v>74</v>
      </c>
      <c r="D11" s="15" t="s">
        <v>75</v>
      </c>
      <c r="E11" s="15" t="s">
        <v>76</v>
      </c>
      <c r="F11" s="15" t="s">
        <v>77</v>
      </c>
    </row>
    <row r="12" spans="2:8" x14ac:dyDescent="0.2">
      <c r="C12" s="15"/>
      <c r="D12" s="15"/>
      <c r="E12" s="15"/>
      <c r="F12" s="15"/>
    </row>
    <row r="13" spans="2:8" ht="23" x14ac:dyDescent="0.25">
      <c r="B13" s="26" t="s">
        <v>78</v>
      </c>
      <c r="C13" s="12" t="s">
        <v>23</v>
      </c>
      <c r="D13" s="12" t="s">
        <v>69</v>
      </c>
      <c r="E13" s="12" t="s">
        <v>22</v>
      </c>
      <c r="F13" s="12" t="s">
        <v>57</v>
      </c>
    </row>
    <row r="14" spans="2:8" ht="23" x14ac:dyDescent="0.25">
      <c r="B14" s="10" t="s">
        <v>71</v>
      </c>
      <c r="C14" s="16">
        <v>64</v>
      </c>
      <c r="D14" s="16" t="s">
        <v>67</v>
      </c>
      <c r="E14" s="16" t="s">
        <v>70</v>
      </c>
      <c r="F14" s="16" t="s">
        <v>58</v>
      </c>
    </row>
    <row r="15" spans="2:8" ht="23" x14ac:dyDescent="0.25">
      <c r="B15" s="10" t="s">
        <v>72</v>
      </c>
      <c r="C15" s="16">
        <v>4</v>
      </c>
      <c r="D15" s="16" t="s">
        <v>68</v>
      </c>
      <c r="E15" s="16" t="s">
        <v>70</v>
      </c>
      <c r="F15" s="16" t="s">
        <v>58</v>
      </c>
    </row>
    <row r="18" spans="2:3" ht="23" x14ac:dyDescent="0.25">
      <c r="B18" s="26" t="s">
        <v>24</v>
      </c>
    </row>
    <row r="19" spans="2:3" x14ac:dyDescent="0.2">
      <c r="B19" s="11" t="s">
        <v>25</v>
      </c>
      <c r="C19" t="s">
        <v>56</v>
      </c>
    </row>
    <row r="20" spans="2:3" x14ac:dyDescent="0.2">
      <c r="B20" s="11" t="s">
        <v>26</v>
      </c>
    </row>
    <row r="21" spans="2:3" x14ac:dyDescent="0.2">
      <c r="B21" s="11" t="s">
        <v>27</v>
      </c>
      <c r="C21" t="s">
        <v>28</v>
      </c>
    </row>
    <row r="22" spans="2:3" x14ac:dyDescent="0.2">
      <c r="B22" s="11" t="s">
        <v>29</v>
      </c>
      <c r="C22" t="s">
        <v>30</v>
      </c>
    </row>
    <row r="23" spans="2:3" x14ac:dyDescent="0.2">
      <c r="B23" s="11" t="s">
        <v>31</v>
      </c>
      <c r="C23">
        <v>512</v>
      </c>
    </row>
    <row r="24" spans="2:3" x14ac:dyDescent="0.2">
      <c r="B24" s="11" t="s">
        <v>32</v>
      </c>
      <c r="C24" t="s">
        <v>33</v>
      </c>
    </row>
    <row r="25" spans="2:3" x14ac:dyDescent="0.2">
      <c r="B25" s="11" t="s">
        <v>34</v>
      </c>
      <c r="C25" t="s">
        <v>30</v>
      </c>
    </row>
    <row r="26" spans="2:3" x14ac:dyDescent="0.2">
      <c r="B26" s="11" t="s">
        <v>35</v>
      </c>
      <c r="C26" t="s">
        <v>36</v>
      </c>
    </row>
    <row r="27" spans="2:3" x14ac:dyDescent="0.2">
      <c r="B27" s="11" t="s">
        <v>37</v>
      </c>
      <c r="C27" t="s">
        <v>38</v>
      </c>
    </row>
    <row r="28" spans="2:3" x14ac:dyDescent="0.2">
      <c r="B28" s="11" t="s">
        <v>39</v>
      </c>
      <c r="C28">
        <v>2</v>
      </c>
    </row>
    <row r="29" spans="2:3" x14ac:dyDescent="0.2">
      <c r="B29" s="11" t="s">
        <v>40</v>
      </c>
      <c r="C29">
        <v>2</v>
      </c>
    </row>
    <row r="30" spans="2:3" x14ac:dyDescent="0.2">
      <c r="B30" s="11" t="s">
        <v>41</v>
      </c>
      <c r="C30" t="s">
        <v>42</v>
      </c>
    </row>
    <row r="31" spans="2:3" x14ac:dyDescent="0.2">
      <c r="B31" s="11" t="s">
        <v>43</v>
      </c>
      <c r="C31" t="s">
        <v>42</v>
      </c>
    </row>
    <row r="32" spans="2:3" x14ac:dyDescent="0.2">
      <c r="B32" s="11" t="s">
        <v>44</v>
      </c>
      <c r="C32" t="s">
        <v>45</v>
      </c>
    </row>
    <row r="33" spans="2:3" x14ac:dyDescent="0.2">
      <c r="B33" s="11" t="s">
        <v>46</v>
      </c>
      <c r="C33" t="s">
        <v>45</v>
      </c>
    </row>
    <row r="34" spans="2:3" x14ac:dyDescent="0.2">
      <c r="B34" s="11" t="s">
        <v>47</v>
      </c>
      <c r="C34" t="s">
        <v>48</v>
      </c>
    </row>
    <row r="35" spans="2:3" x14ac:dyDescent="0.2">
      <c r="B35" s="11" t="s">
        <v>49</v>
      </c>
      <c r="C35" t="s">
        <v>50</v>
      </c>
    </row>
    <row r="36" spans="2:3" x14ac:dyDescent="0.2">
      <c r="B36" s="11" t="s">
        <v>51</v>
      </c>
      <c r="C36" t="s">
        <v>52</v>
      </c>
    </row>
    <row r="37" spans="2:3" x14ac:dyDescent="0.2">
      <c r="B37" s="11" t="s">
        <v>53</v>
      </c>
      <c r="C37" t="s">
        <v>54</v>
      </c>
    </row>
    <row r="39" spans="2:3" x14ac:dyDescent="0.2">
      <c r="B39" s="11" t="s">
        <v>55</v>
      </c>
      <c r="C39" t="s">
        <v>52</v>
      </c>
    </row>
  </sheetData>
  <phoneticPr fontId="2" type="noConversion"/>
  <hyperlinks>
    <hyperlink ref="C2" r:id="rId1" location="@ordering"/>
  </hyperlink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 enableFormatConditionsCalculation="0"/>
  <dimension ref="B2:K89"/>
  <sheetViews>
    <sheetView showRuler="0" zoomScale="113" workbookViewId="0">
      <selection activeCell="E15" sqref="E15"/>
    </sheetView>
  </sheetViews>
  <sheetFormatPr baseColWidth="10" defaultRowHeight="16" x14ac:dyDescent="0.2"/>
  <cols>
    <col min="2" max="2" width="18.83203125" style="7" customWidth="1"/>
  </cols>
  <sheetData>
    <row r="2" spans="2:11" x14ac:dyDescent="0.2">
      <c r="B2" s="7" t="s">
        <v>62</v>
      </c>
    </row>
    <row r="4" spans="2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2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2:11" x14ac:dyDescent="0.2">
      <c r="B6" s="19" t="s">
        <v>7</v>
      </c>
      <c r="C6" s="1"/>
      <c r="D6" s="1"/>
      <c r="E6" s="1"/>
      <c r="F6" s="1"/>
      <c r="G6" s="1"/>
      <c r="H6" s="1"/>
      <c r="I6" s="1"/>
      <c r="J6" s="1"/>
      <c r="K6" s="1"/>
    </row>
    <row r="7" spans="2:11" x14ac:dyDescent="0.2"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2:11" x14ac:dyDescent="0.2">
      <c r="B8" s="8" t="s">
        <v>8</v>
      </c>
      <c r="C8" s="1"/>
      <c r="D8" s="1"/>
      <c r="E8" s="1"/>
      <c r="F8" s="1"/>
      <c r="G8" s="1"/>
      <c r="H8" s="1"/>
      <c r="I8" s="1"/>
      <c r="J8" s="1"/>
      <c r="K8" s="1"/>
    </row>
    <row r="9" spans="2:11" x14ac:dyDescent="0.2">
      <c r="B9" s="8" t="s">
        <v>11</v>
      </c>
      <c r="C9" s="1"/>
      <c r="D9" s="1"/>
      <c r="E9" s="1"/>
      <c r="F9" s="1"/>
      <c r="G9" s="1"/>
      <c r="H9" s="1"/>
      <c r="I9" s="1"/>
      <c r="J9" s="1"/>
      <c r="K9" s="1"/>
    </row>
    <row r="10" spans="2:11" x14ac:dyDescent="0.2">
      <c r="B10" s="8" t="s">
        <v>10</v>
      </c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"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"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">
      <c r="B13" s="17" t="s">
        <v>60</v>
      </c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">
      <c r="B14" s="20" t="s">
        <v>12</v>
      </c>
      <c r="C14" s="9"/>
      <c r="D14" s="9"/>
      <c r="E14" s="9"/>
      <c r="F14" s="9"/>
      <c r="G14" s="9"/>
      <c r="H14" s="9"/>
      <c r="I14" s="9"/>
      <c r="J14" s="9"/>
    </row>
    <row r="89" spans="2:3" x14ac:dyDescent="0.2">
      <c r="B89" s="23"/>
      <c r="C89" s="23"/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_xludf.parse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4</xdr:col>
                    <xdr:colOff>393700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3" r:id="rId4" name="Button 3">
              <controlPr defaultSize="0" autoFill="0" autoPict="0" macro="[0]!clear_data">
                <anchor moveWithCells="1" sizeWithCells="1">
                  <from>
                    <xdr:col>5</xdr:col>
                    <xdr:colOff>12700</xdr:colOff>
                    <xdr:row>0</xdr:row>
                    <xdr:rowOff>12700</xdr:rowOff>
                  </from>
                  <to>
                    <xdr:col>6</xdr:col>
                    <xdr:colOff>406400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 enableFormatConditionsCalculation="0"/>
  <dimension ref="B2:K89"/>
  <sheetViews>
    <sheetView showRuler="0" zoomScale="113" workbookViewId="0">
      <selection activeCell="D18" sqref="D18"/>
    </sheetView>
  </sheetViews>
  <sheetFormatPr baseColWidth="10" defaultRowHeight="16" x14ac:dyDescent="0.2"/>
  <cols>
    <col min="2" max="2" width="18.83203125" style="7" customWidth="1"/>
  </cols>
  <sheetData>
    <row r="2" spans="2:11" x14ac:dyDescent="0.2">
      <c r="B2" s="7" t="s">
        <v>64</v>
      </c>
    </row>
    <row r="4" spans="2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2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2:11" x14ac:dyDescent="0.2">
      <c r="B6" s="19" t="s">
        <v>7</v>
      </c>
      <c r="C6" s="1"/>
      <c r="D6" s="1"/>
      <c r="E6" s="1"/>
      <c r="F6" s="1"/>
      <c r="G6" s="1"/>
      <c r="H6" s="1"/>
      <c r="I6" s="1"/>
      <c r="J6" s="1"/>
      <c r="K6" s="1"/>
    </row>
    <row r="7" spans="2:11" x14ac:dyDescent="0.2"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2:11" x14ac:dyDescent="0.2">
      <c r="B8" s="8" t="s">
        <v>8</v>
      </c>
      <c r="C8" s="1"/>
      <c r="D8" s="1"/>
      <c r="E8" s="1"/>
      <c r="F8" s="1"/>
      <c r="G8" s="1"/>
      <c r="H8" s="1"/>
      <c r="J8" s="1"/>
      <c r="K8" s="1"/>
    </row>
    <row r="9" spans="2:11" x14ac:dyDescent="0.2">
      <c r="B9" s="8" t="s">
        <v>11</v>
      </c>
      <c r="C9" s="1"/>
      <c r="D9" s="1"/>
      <c r="E9" s="1"/>
      <c r="F9" s="1"/>
      <c r="G9" s="1"/>
      <c r="H9" s="1"/>
      <c r="J9" s="1"/>
      <c r="K9" s="1"/>
    </row>
    <row r="10" spans="2:11" x14ac:dyDescent="0.2">
      <c r="B10" s="8" t="s">
        <v>10</v>
      </c>
      <c r="C10" s="1"/>
      <c r="D10" s="1"/>
      <c r="E10" s="1"/>
      <c r="F10" s="1"/>
      <c r="G10" s="1"/>
      <c r="H10" s="1"/>
      <c r="J10" s="1"/>
      <c r="K10" s="1"/>
    </row>
    <row r="11" spans="2:11" x14ac:dyDescent="0.2"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"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">
      <c r="B13" s="17" t="s">
        <v>60</v>
      </c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">
      <c r="B14" s="20" t="s">
        <v>12</v>
      </c>
      <c r="C14" s="21"/>
      <c r="D14" s="1"/>
      <c r="E14" s="1"/>
      <c r="F14" s="1"/>
      <c r="G14" s="1"/>
      <c r="H14" s="1"/>
      <c r="I14" s="1"/>
      <c r="J14" s="1"/>
      <c r="K14" s="1"/>
    </row>
    <row r="89" spans="2:3" x14ac:dyDescent="0.2">
      <c r="B89" s="23"/>
      <c r="C89" s="23"/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_xludf.parse">
                <anchor moveWithCells="1" sizeWithCells="1">
                  <from>
                    <xdr:col>3</xdr:col>
                    <xdr:colOff>0</xdr:colOff>
                    <xdr:row>0</xdr:row>
                    <xdr:rowOff>25400</xdr:rowOff>
                  </from>
                  <to>
                    <xdr:col>4</xdr:col>
                    <xdr:colOff>381000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autoFill="0" autoPict="0" macro="[0]!clear_data">
                <anchor moveWithCells="1" sizeWithCells="1">
                  <from>
                    <xdr:col>5</xdr:col>
                    <xdr:colOff>12700</xdr:colOff>
                    <xdr:row>0</xdr:row>
                    <xdr:rowOff>25400</xdr:rowOff>
                  </from>
                  <to>
                    <xdr:col>6</xdr:col>
                    <xdr:colOff>406400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 enableFormatConditionsCalculation="0"/>
  <dimension ref="B2:K89"/>
  <sheetViews>
    <sheetView showRuler="0" zoomScale="113" workbookViewId="0">
      <selection activeCell="H2" sqref="H2"/>
    </sheetView>
  </sheetViews>
  <sheetFormatPr baseColWidth="10" defaultRowHeight="16" x14ac:dyDescent="0.2"/>
  <cols>
    <col min="2" max="2" width="18.83203125" style="7" customWidth="1"/>
  </cols>
  <sheetData>
    <row r="2" spans="2:11" x14ac:dyDescent="0.2">
      <c r="B2" s="7" t="s">
        <v>65</v>
      </c>
    </row>
    <row r="4" spans="2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2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2:11" x14ac:dyDescent="0.2">
      <c r="B6" s="19" t="s">
        <v>7</v>
      </c>
      <c r="C6" s="1"/>
      <c r="D6" s="1"/>
      <c r="E6" s="1"/>
      <c r="F6" s="1"/>
      <c r="G6" s="1"/>
      <c r="H6" s="1"/>
      <c r="I6" s="1"/>
      <c r="J6" s="1"/>
      <c r="K6" s="1"/>
    </row>
    <row r="7" spans="2:11" x14ac:dyDescent="0.2"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2:11" x14ac:dyDescent="0.2">
      <c r="B8" s="8" t="s">
        <v>8</v>
      </c>
      <c r="C8" s="1"/>
      <c r="D8" s="1"/>
      <c r="E8" s="1"/>
      <c r="F8" s="1"/>
      <c r="G8" s="1"/>
      <c r="H8" s="1"/>
      <c r="I8" s="1"/>
      <c r="J8" s="1"/>
      <c r="K8" s="1"/>
    </row>
    <row r="9" spans="2:11" x14ac:dyDescent="0.2">
      <c r="B9" s="8" t="s">
        <v>11</v>
      </c>
      <c r="C9" s="1"/>
      <c r="D9" s="1"/>
      <c r="E9" s="1"/>
      <c r="F9" s="1"/>
      <c r="G9" s="1"/>
      <c r="H9" s="1"/>
      <c r="I9" s="1"/>
      <c r="J9" s="1"/>
      <c r="K9" s="1"/>
    </row>
    <row r="10" spans="2:11" x14ac:dyDescent="0.2">
      <c r="B10" s="8" t="s">
        <v>10</v>
      </c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"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"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">
      <c r="B13" s="17" t="s">
        <v>60</v>
      </c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">
      <c r="B14" s="20" t="s">
        <v>12</v>
      </c>
      <c r="C14" s="1"/>
      <c r="D14" s="1"/>
      <c r="E14" s="1"/>
      <c r="F14" s="1"/>
      <c r="G14" s="1"/>
      <c r="H14" s="1"/>
      <c r="I14" s="1"/>
      <c r="J14" s="1"/>
      <c r="K14" s="1"/>
    </row>
    <row r="89" spans="2:3" x14ac:dyDescent="0.2">
      <c r="B89" s="23" t="s">
        <v>63</v>
      </c>
      <c r="C89" s="23">
        <v>64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_xludf.parse">
                <anchor moveWithCells="1" sizeWithCells="1">
                  <from>
                    <xdr:col>3</xdr:col>
                    <xdr:colOff>12700</xdr:colOff>
                    <xdr:row>0</xdr:row>
                    <xdr:rowOff>38100</xdr:rowOff>
                  </from>
                  <to>
                    <xdr:col>4</xdr:col>
                    <xdr:colOff>406400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clear_data">
                <anchor moveWithCells="1" sizeWithCells="1">
                  <from>
                    <xdr:col>5</xdr:col>
                    <xdr:colOff>12700</xdr:colOff>
                    <xdr:row>0</xdr:row>
                    <xdr:rowOff>25400</xdr:rowOff>
                  </from>
                  <to>
                    <xdr:col>6</xdr:col>
                    <xdr:colOff>406400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 enableFormatConditionsCalculation="0"/>
  <dimension ref="B2:K89"/>
  <sheetViews>
    <sheetView tabSelected="1" showRuler="0" zoomScale="113" workbookViewId="0">
      <selection activeCell="G17" sqref="G17"/>
    </sheetView>
  </sheetViews>
  <sheetFormatPr baseColWidth="10" defaultRowHeight="16" x14ac:dyDescent="0.2"/>
  <cols>
    <col min="2" max="2" width="18.83203125" style="7" customWidth="1"/>
  </cols>
  <sheetData>
    <row r="2" spans="2:11" x14ac:dyDescent="0.2">
      <c r="B2" s="7" t="s">
        <v>66</v>
      </c>
    </row>
    <row r="4" spans="2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2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2:11" x14ac:dyDescent="0.2">
      <c r="B6" s="19" t="s">
        <v>7</v>
      </c>
      <c r="C6" s="1"/>
      <c r="D6" s="1"/>
      <c r="E6" s="1"/>
      <c r="F6" s="1"/>
      <c r="G6" s="1"/>
      <c r="H6" s="1"/>
      <c r="I6" s="1"/>
      <c r="J6" s="1"/>
      <c r="K6" s="1"/>
    </row>
    <row r="7" spans="2:11" x14ac:dyDescent="0.2"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2:11" x14ac:dyDescent="0.2">
      <c r="B8" s="8" t="s">
        <v>8</v>
      </c>
      <c r="C8" s="1"/>
      <c r="D8" s="1"/>
      <c r="E8" s="1"/>
      <c r="F8" s="1"/>
      <c r="G8" s="1"/>
      <c r="H8" s="1"/>
      <c r="I8" s="1"/>
      <c r="J8" s="1"/>
      <c r="K8" s="1"/>
    </row>
    <row r="9" spans="2:11" x14ac:dyDescent="0.2">
      <c r="B9" s="8" t="s">
        <v>11</v>
      </c>
      <c r="C9" s="1"/>
      <c r="D9" s="1"/>
      <c r="E9" s="1"/>
      <c r="F9" s="1"/>
      <c r="G9" s="1"/>
      <c r="H9" s="1"/>
      <c r="I9" s="1"/>
      <c r="J9" s="1"/>
      <c r="K9" s="1"/>
    </row>
    <row r="10" spans="2:11" x14ac:dyDescent="0.2">
      <c r="B10" s="8" t="s">
        <v>10</v>
      </c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"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"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">
      <c r="B13" s="17" t="s">
        <v>60</v>
      </c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">
      <c r="B14" s="20" t="s">
        <v>12</v>
      </c>
      <c r="C14" s="1"/>
      <c r="D14" s="1"/>
      <c r="E14" s="1"/>
      <c r="F14" s="1"/>
      <c r="G14" s="1"/>
      <c r="H14" s="1"/>
      <c r="I14" s="1"/>
      <c r="J14" s="1"/>
      <c r="K14" s="1"/>
    </row>
    <row r="89" spans="2:3" x14ac:dyDescent="0.2">
      <c r="B89" s="23"/>
      <c r="C89" s="23"/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_xludf.parse">
                <anchor moveWithCells="1" sizeWithCells="1">
                  <from>
                    <xdr:col>3</xdr:col>
                    <xdr:colOff>12700</xdr:colOff>
                    <xdr:row>0</xdr:row>
                    <xdr:rowOff>38100</xdr:rowOff>
                  </from>
                  <to>
                    <xdr:col>4</xdr:col>
                    <xdr:colOff>406400</xdr:colOff>
                    <xdr:row>1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5" r:id="rId4" name="Button 3">
              <controlPr defaultSize="0" autoFill="0" autoPict="0" macro="[0]!clear_data">
                <anchor moveWithCells="1" sizeWithCells="1">
                  <from>
                    <xdr:col>4</xdr:col>
                    <xdr:colOff>825500</xdr:colOff>
                    <xdr:row>0</xdr:row>
                    <xdr:rowOff>50800</xdr:rowOff>
                  </from>
                  <to>
                    <xdr:col>6</xdr:col>
                    <xdr:colOff>393700</xdr:colOff>
                    <xdr:row>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 enableFormatConditionsCalculation="0"/>
  <dimension ref="A2:K98"/>
  <sheetViews>
    <sheetView showRuler="0" zoomScale="94" workbookViewId="0">
      <selection activeCell="C27" sqref="C27:K27"/>
    </sheetView>
  </sheetViews>
  <sheetFormatPr baseColWidth="10" defaultRowHeight="16" x14ac:dyDescent="0.2"/>
  <cols>
    <col min="2" max="2" width="18.83203125" style="7" customWidth="1"/>
  </cols>
  <sheetData>
    <row r="2" spans="1:11" x14ac:dyDescent="0.2">
      <c r="B2" s="7" t="s">
        <v>79</v>
      </c>
    </row>
    <row r="4" spans="1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1:11" x14ac:dyDescent="0.2">
      <c r="A6" s="29" t="s">
        <v>80</v>
      </c>
      <c r="B6" s="19" t="s">
        <v>7</v>
      </c>
      <c r="C6" s="22"/>
      <c r="D6" s="1"/>
      <c r="E6" s="1"/>
      <c r="F6" s="1"/>
      <c r="G6" s="1"/>
      <c r="H6" s="1"/>
      <c r="I6" s="1"/>
      <c r="J6" s="1"/>
      <c r="K6" s="1"/>
    </row>
    <row r="7" spans="1:11" x14ac:dyDescent="0.2">
      <c r="A7" s="29"/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1" x14ac:dyDescent="0.2">
      <c r="A8" s="29"/>
      <c r="B8" s="8" t="s">
        <v>8</v>
      </c>
      <c r="C8" s="1"/>
      <c r="D8" s="1"/>
      <c r="E8" s="1"/>
      <c r="F8" s="1"/>
      <c r="G8" s="1"/>
      <c r="H8" s="1"/>
      <c r="I8" s="1"/>
      <c r="J8" s="1"/>
      <c r="K8" s="1"/>
    </row>
    <row r="9" spans="1:11" x14ac:dyDescent="0.2">
      <c r="A9" s="29"/>
      <c r="B9" s="8" t="s">
        <v>11</v>
      </c>
      <c r="C9" s="1"/>
      <c r="D9" s="1"/>
      <c r="E9" s="1"/>
      <c r="F9" s="1"/>
      <c r="G9" s="1"/>
      <c r="H9" s="1"/>
      <c r="I9" s="1"/>
      <c r="J9" s="1"/>
      <c r="K9" s="1"/>
    </row>
    <row r="10" spans="1:11" x14ac:dyDescent="0.2">
      <c r="A10" s="29"/>
      <c r="B10" s="8" t="s">
        <v>10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">
      <c r="A11" s="29"/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">
      <c r="A12" s="29"/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">
      <c r="A13" s="29" t="s">
        <v>81</v>
      </c>
      <c r="B13" s="19" t="s">
        <v>7</v>
      </c>
      <c r="C13" s="22"/>
      <c r="D13" s="1"/>
      <c r="E13" s="1"/>
      <c r="F13" s="1"/>
      <c r="G13" s="1"/>
      <c r="H13" s="1"/>
      <c r="I13" s="1"/>
      <c r="J13" s="1"/>
      <c r="K13" s="1"/>
    </row>
    <row r="14" spans="1:11" x14ac:dyDescent="0.2">
      <c r="A14" s="29"/>
      <c r="B14" s="19" t="s">
        <v>61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29"/>
      <c r="B15" s="8" t="s">
        <v>8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">
      <c r="A16" s="29"/>
      <c r="B16" s="8" t="s">
        <v>11</v>
      </c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">
      <c r="A17" s="29"/>
      <c r="B17" s="8" t="s">
        <v>10</v>
      </c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">
      <c r="A18" s="29"/>
      <c r="B18" s="8" t="s">
        <v>9</v>
      </c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">
      <c r="A19" s="29"/>
      <c r="B19" s="8" t="s">
        <v>59</v>
      </c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">
      <c r="A20" s="29" t="s">
        <v>82</v>
      </c>
      <c r="B20" s="19" t="s">
        <v>7</v>
      </c>
      <c r="C20" s="24">
        <f>C6+C13</f>
        <v>0</v>
      </c>
      <c r="D20" s="24">
        <f t="shared" ref="D20:K20" si="0">D6+D13</f>
        <v>0</v>
      </c>
      <c r="E20" s="24">
        <f t="shared" si="0"/>
        <v>0</v>
      </c>
      <c r="F20" s="24">
        <f t="shared" si="0"/>
        <v>0</v>
      </c>
      <c r="G20" s="25">
        <f t="shared" si="0"/>
        <v>0</v>
      </c>
      <c r="H20" s="24">
        <f t="shared" si="0"/>
        <v>0</v>
      </c>
      <c r="I20" s="24">
        <f t="shared" si="0"/>
        <v>0</v>
      </c>
      <c r="J20" s="24">
        <f t="shared" si="0"/>
        <v>0</v>
      </c>
      <c r="K20" s="24">
        <f t="shared" si="0"/>
        <v>0</v>
      </c>
    </row>
    <row r="21" spans="1:11" x14ac:dyDescent="0.2">
      <c r="A21" s="29"/>
      <c r="B21" s="19" t="s">
        <v>61</v>
      </c>
      <c r="C21" s="24">
        <f>C7+C14</f>
        <v>0</v>
      </c>
      <c r="D21" s="24">
        <f t="shared" ref="D21:K21" si="1">D7+D14</f>
        <v>0</v>
      </c>
      <c r="E21" s="24">
        <f t="shared" si="1"/>
        <v>0</v>
      </c>
      <c r="F21" s="24">
        <f t="shared" si="1"/>
        <v>0</v>
      </c>
      <c r="G21" s="24">
        <f t="shared" si="1"/>
        <v>0</v>
      </c>
      <c r="H21" s="24">
        <f t="shared" si="1"/>
        <v>0</v>
      </c>
      <c r="I21" s="24">
        <f t="shared" si="1"/>
        <v>0</v>
      </c>
      <c r="J21" s="24">
        <f t="shared" si="1"/>
        <v>0</v>
      </c>
      <c r="K21" s="24">
        <f t="shared" si="1"/>
        <v>0</v>
      </c>
    </row>
    <row r="22" spans="1:11" x14ac:dyDescent="0.2">
      <c r="A22" s="29"/>
      <c r="B22" s="8" t="s">
        <v>8</v>
      </c>
      <c r="C22" s="1">
        <f>MAX(C8,C15)</f>
        <v>0</v>
      </c>
      <c r="D22" s="1">
        <f t="shared" ref="D22:K22" si="2">MAX(D8,D15)</f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I22" s="1">
        <f t="shared" si="2"/>
        <v>0</v>
      </c>
      <c r="J22" s="1">
        <f t="shared" si="2"/>
        <v>0</v>
      </c>
      <c r="K22" s="1">
        <f t="shared" si="2"/>
        <v>0</v>
      </c>
    </row>
    <row r="23" spans="1:11" x14ac:dyDescent="0.2">
      <c r="A23" s="29"/>
      <c r="B23" s="8" t="s">
        <v>11</v>
      </c>
      <c r="C23" s="1">
        <f t="shared" ref="C23:K26" si="3">MAX(C9,C16)</f>
        <v>0</v>
      </c>
      <c r="D23" s="1">
        <f t="shared" si="3"/>
        <v>0</v>
      </c>
      <c r="E23" s="1">
        <f t="shared" si="3"/>
        <v>0</v>
      </c>
      <c r="F23" s="1">
        <f t="shared" si="3"/>
        <v>0</v>
      </c>
      <c r="G23" s="1">
        <f t="shared" si="3"/>
        <v>0</v>
      </c>
      <c r="H23" s="1">
        <f t="shared" si="3"/>
        <v>0</v>
      </c>
      <c r="I23" s="1">
        <f t="shared" si="3"/>
        <v>0</v>
      </c>
      <c r="J23" s="1">
        <f t="shared" si="3"/>
        <v>0</v>
      </c>
      <c r="K23" s="1">
        <f t="shared" si="3"/>
        <v>0</v>
      </c>
    </row>
    <row r="24" spans="1:11" x14ac:dyDescent="0.2">
      <c r="A24" s="29"/>
      <c r="B24" s="8" t="s">
        <v>10</v>
      </c>
      <c r="C24" s="1">
        <f t="shared" si="3"/>
        <v>0</v>
      </c>
      <c r="D24" s="1">
        <f t="shared" si="3"/>
        <v>0</v>
      </c>
      <c r="E24" s="1">
        <f t="shared" si="3"/>
        <v>0</v>
      </c>
      <c r="F24" s="1">
        <f t="shared" si="3"/>
        <v>0</v>
      </c>
      <c r="G24" s="1">
        <f t="shared" si="3"/>
        <v>0</v>
      </c>
      <c r="H24" s="1">
        <f t="shared" si="3"/>
        <v>0</v>
      </c>
      <c r="I24" s="1">
        <f t="shared" si="3"/>
        <v>0</v>
      </c>
      <c r="J24" s="1">
        <f t="shared" si="3"/>
        <v>0</v>
      </c>
      <c r="K24" s="1">
        <f t="shared" si="3"/>
        <v>0</v>
      </c>
    </row>
    <row r="25" spans="1:11" x14ac:dyDescent="0.2">
      <c r="A25" s="29"/>
      <c r="B25" s="8" t="s">
        <v>9</v>
      </c>
      <c r="C25" s="1">
        <f t="shared" si="3"/>
        <v>0</v>
      </c>
      <c r="D25" s="1">
        <f t="shared" si="3"/>
        <v>0</v>
      </c>
      <c r="E25" s="1">
        <f t="shared" si="3"/>
        <v>0</v>
      </c>
      <c r="F25" s="1">
        <f t="shared" si="3"/>
        <v>0</v>
      </c>
      <c r="G25" s="1">
        <f t="shared" si="3"/>
        <v>0</v>
      </c>
      <c r="H25" s="1">
        <f t="shared" si="3"/>
        <v>0</v>
      </c>
      <c r="I25" s="1">
        <f t="shared" si="3"/>
        <v>0</v>
      </c>
      <c r="J25" s="1">
        <f t="shared" si="3"/>
        <v>0</v>
      </c>
      <c r="K25" s="1">
        <f t="shared" si="3"/>
        <v>0</v>
      </c>
    </row>
    <row r="26" spans="1:11" x14ac:dyDescent="0.2">
      <c r="A26" s="29"/>
      <c r="B26" s="8" t="s">
        <v>59</v>
      </c>
      <c r="C26" s="1">
        <f t="shared" si="3"/>
        <v>0</v>
      </c>
      <c r="D26" s="1">
        <f t="shared" si="3"/>
        <v>0</v>
      </c>
      <c r="E26" s="1">
        <f t="shared" si="3"/>
        <v>0</v>
      </c>
      <c r="F26" s="1">
        <f t="shared" si="3"/>
        <v>0</v>
      </c>
      <c r="G26" s="1">
        <f t="shared" si="3"/>
        <v>0</v>
      </c>
      <c r="H26" s="1">
        <f t="shared" si="3"/>
        <v>0</v>
      </c>
      <c r="I26" s="1">
        <f t="shared" si="3"/>
        <v>0</v>
      </c>
      <c r="J26" s="1">
        <f t="shared" si="3"/>
        <v>0</v>
      </c>
      <c r="K26" s="1">
        <f t="shared" si="3"/>
        <v>0</v>
      </c>
    </row>
    <row r="27" spans="1:11" x14ac:dyDescent="0.2">
      <c r="B27" s="17" t="s">
        <v>60</v>
      </c>
      <c r="C27" s="1"/>
      <c r="D27" s="1"/>
      <c r="E27" s="1"/>
      <c r="F27" s="1"/>
      <c r="G27" s="1"/>
      <c r="H27" s="1"/>
      <c r="I27" s="1"/>
      <c r="J27" s="1"/>
      <c r="K27" s="1"/>
    </row>
    <row r="98" spans="2:3" x14ac:dyDescent="0.2">
      <c r="B98" s="23" t="s">
        <v>83</v>
      </c>
      <c r="C98" s="23">
        <v>64</v>
      </c>
    </row>
  </sheetData>
  <mergeCells count="3">
    <mergeCell ref="A6:A12"/>
    <mergeCell ref="A13:A19"/>
    <mergeCell ref="A20:A26"/>
  </mergeCells>
  <phoneticPr fontId="2" type="noConversion"/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 enableFormatConditionsCalculation="0"/>
  <dimension ref="A2:K98"/>
  <sheetViews>
    <sheetView showRuler="0" zoomScale="94" workbookViewId="0">
      <selection activeCell="M24" sqref="M24"/>
    </sheetView>
  </sheetViews>
  <sheetFormatPr baseColWidth="10" defaultRowHeight="16" x14ac:dyDescent="0.2"/>
  <cols>
    <col min="2" max="2" width="18.83203125" style="7" customWidth="1"/>
  </cols>
  <sheetData>
    <row r="2" spans="1:11" x14ac:dyDescent="0.2">
      <c r="B2" s="7" t="s">
        <v>84</v>
      </c>
    </row>
    <row r="4" spans="1:11" x14ac:dyDescent="0.2">
      <c r="B4" s="18" t="s">
        <v>6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2">
      <c r="B5" s="18" t="s">
        <v>63</v>
      </c>
      <c r="C5" s="1"/>
      <c r="D5" s="1"/>
      <c r="E5" s="1"/>
      <c r="F5" s="1"/>
      <c r="G5" s="1"/>
      <c r="H5" s="1"/>
      <c r="I5" s="1"/>
      <c r="J5" s="1"/>
      <c r="K5" s="1"/>
    </row>
    <row r="6" spans="1:11" x14ac:dyDescent="0.2">
      <c r="A6" s="29" t="s">
        <v>80</v>
      </c>
      <c r="B6" s="19" t="s">
        <v>7</v>
      </c>
      <c r="C6" s="22"/>
      <c r="D6" s="1"/>
      <c r="E6" s="1"/>
      <c r="F6" s="1"/>
      <c r="G6" s="1"/>
      <c r="H6" s="1"/>
      <c r="I6" s="1"/>
      <c r="J6" s="1"/>
      <c r="K6" s="1"/>
    </row>
    <row r="7" spans="1:11" x14ac:dyDescent="0.2">
      <c r="A7" s="29"/>
      <c r="B7" s="19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1" x14ac:dyDescent="0.2">
      <c r="A8" s="29"/>
      <c r="B8" s="8" t="s">
        <v>8</v>
      </c>
      <c r="C8" s="1"/>
      <c r="D8" s="1"/>
      <c r="E8" s="1"/>
      <c r="F8" s="1"/>
      <c r="G8" s="1"/>
      <c r="H8" s="1"/>
      <c r="I8" s="1"/>
      <c r="J8" s="1"/>
      <c r="K8" s="1"/>
    </row>
    <row r="9" spans="1:11" x14ac:dyDescent="0.2">
      <c r="A9" s="29"/>
      <c r="B9" s="8" t="s">
        <v>11</v>
      </c>
      <c r="C9" s="1"/>
      <c r="D9" s="1"/>
      <c r="E9" s="1"/>
      <c r="F9" s="1"/>
      <c r="G9" s="1"/>
      <c r="H9" s="1"/>
      <c r="I9" s="1"/>
      <c r="J9" s="1"/>
      <c r="K9" s="1"/>
    </row>
    <row r="10" spans="1:11" x14ac:dyDescent="0.2">
      <c r="A10" s="29"/>
      <c r="B10" s="8" t="s">
        <v>10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">
      <c r="A11" s="29"/>
      <c r="B11" s="8" t="s">
        <v>9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">
      <c r="A12" s="29"/>
      <c r="B12" s="8" t="s">
        <v>59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">
      <c r="A13" s="29" t="s">
        <v>81</v>
      </c>
      <c r="B13" s="19" t="s">
        <v>7</v>
      </c>
      <c r="C13" s="22"/>
      <c r="D13" s="1"/>
      <c r="E13" s="1"/>
      <c r="F13" s="1"/>
      <c r="G13" s="1"/>
      <c r="H13" s="1"/>
      <c r="I13" s="1"/>
      <c r="J13" s="1"/>
      <c r="K13" s="1"/>
    </row>
    <row r="14" spans="1:11" x14ac:dyDescent="0.2">
      <c r="A14" s="29"/>
      <c r="B14" s="19" t="s">
        <v>61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29"/>
      <c r="B15" s="8" t="s">
        <v>8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">
      <c r="A16" s="29"/>
      <c r="B16" s="8" t="s">
        <v>11</v>
      </c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">
      <c r="A17" s="29"/>
      <c r="B17" s="8" t="s">
        <v>10</v>
      </c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">
      <c r="A18" s="29"/>
      <c r="B18" s="8" t="s">
        <v>9</v>
      </c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">
      <c r="A19" s="29"/>
      <c r="B19" s="8" t="s">
        <v>59</v>
      </c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">
      <c r="A20" s="29" t="s">
        <v>82</v>
      </c>
      <c r="B20" s="19" t="s">
        <v>7</v>
      </c>
      <c r="C20" s="24">
        <f>C6+C13</f>
        <v>0</v>
      </c>
      <c r="D20" s="24">
        <f t="shared" ref="D20:K21" si="0">D6+D13</f>
        <v>0</v>
      </c>
      <c r="E20" s="25">
        <f t="shared" si="0"/>
        <v>0</v>
      </c>
      <c r="F20" s="25">
        <f t="shared" si="0"/>
        <v>0</v>
      </c>
      <c r="G20" s="25">
        <f t="shared" si="0"/>
        <v>0</v>
      </c>
      <c r="H20" s="25">
        <f t="shared" si="0"/>
        <v>0</v>
      </c>
      <c r="I20" s="25">
        <f t="shared" si="0"/>
        <v>0</v>
      </c>
      <c r="J20" s="25">
        <f t="shared" si="0"/>
        <v>0</v>
      </c>
      <c r="K20" s="25">
        <f t="shared" si="0"/>
        <v>0</v>
      </c>
    </row>
    <row r="21" spans="1:11" x14ac:dyDescent="0.2">
      <c r="A21" s="29"/>
      <c r="B21" s="19" t="s">
        <v>61</v>
      </c>
      <c r="C21" s="24">
        <f>C7+C14</f>
        <v>0</v>
      </c>
      <c r="D21" s="24">
        <f t="shared" si="0"/>
        <v>0</v>
      </c>
      <c r="E21" s="25">
        <f t="shared" si="0"/>
        <v>0</v>
      </c>
      <c r="F21" s="25">
        <f t="shared" si="0"/>
        <v>0</v>
      </c>
      <c r="G21" s="25">
        <f t="shared" si="0"/>
        <v>0</v>
      </c>
      <c r="H21" s="25">
        <f t="shared" si="0"/>
        <v>0</v>
      </c>
      <c r="I21" s="25">
        <f t="shared" si="0"/>
        <v>0</v>
      </c>
      <c r="J21" s="25">
        <f t="shared" si="0"/>
        <v>0</v>
      </c>
      <c r="K21" s="25">
        <f t="shared" si="0"/>
        <v>0</v>
      </c>
    </row>
    <row r="22" spans="1:11" x14ac:dyDescent="0.2">
      <c r="A22" s="29"/>
      <c r="B22" s="8" t="s">
        <v>8</v>
      </c>
      <c r="C22" s="1">
        <f>MAX(C8,C15)</f>
        <v>0</v>
      </c>
      <c r="D22" s="1">
        <f t="shared" ref="D22:K22" si="1">MAX(D8,D15)</f>
        <v>0</v>
      </c>
      <c r="E22" s="1">
        <f t="shared" si="1"/>
        <v>0</v>
      </c>
      <c r="F22" s="1">
        <f t="shared" si="1"/>
        <v>0</v>
      </c>
      <c r="G22" s="1">
        <f t="shared" si="1"/>
        <v>0</v>
      </c>
      <c r="H22" s="1">
        <f t="shared" si="1"/>
        <v>0</v>
      </c>
      <c r="I22" s="1">
        <f t="shared" si="1"/>
        <v>0</v>
      </c>
      <c r="J22" s="1">
        <f t="shared" si="1"/>
        <v>0</v>
      </c>
      <c r="K22" s="1">
        <f t="shared" si="1"/>
        <v>0</v>
      </c>
    </row>
    <row r="23" spans="1:11" x14ac:dyDescent="0.2">
      <c r="A23" s="29"/>
      <c r="B23" s="8" t="s">
        <v>11</v>
      </c>
      <c r="C23" s="1">
        <f t="shared" ref="C23:K26" si="2">MAX(C9,C16)</f>
        <v>0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I23" s="1">
        <f t="shared" si="2"/>
        <v>0</v>
      </c>
      <c r="J23" s="1">
        <f t="shared" si="2"/>
        <v>0</v>
      </c>
      <c r="K23" s="1">
        <f t="shared" si="2"/>
        <v>0</v>
      </c>
    </row>
    <row r="24" spans="1:11" x14ac:dyDescent="0.2">
      <c r="A24" s="29"/>
      <c r="B24" s="8" t="s">
        <v>10</v>
      </c>
      <c r="C24" s="1">
        <f t="shared" si="2"/>
        <v>0</v>
      </c>
      <c r="D24" s="1">
        <f t="shared" si="2"/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I24" s="1">
        <f t="shared" si="2"/>
        <v>0</v>
      </c>
      <c r="J24" s="1">
        <f t="shared" si="2"/>
        <v>0</v>
      </c>
      <c r="K24" s="1">
        <f t="shared" si="2"/>
        <v>0</v>
      </c>
    </row>
    <row r="25" spans="1:11" x14ac:dyDescent="0.2">
      <c r="A25" s="29"/>
      <c r="B25" s="8" t="s">
        <v>9</v>
      </c>
      <c r="C25" s="1">
        <f t="shared" si="2"/>
        <v>0</v>
      </c>
      <c r="D25" s="1">
        <f t="shared" si="2"/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</row>
    <row r="26" spans="1:11" x14ac:dyDescent="0.2">
      <c r="A26" s="29"/>
      <c r="B26" s="8" t="s">
        <v>59</v>
      </c>
      <c r="C26" s="1">
        <f t="shared" si="2"/>
        <v>0</v>
      </c>
      <c r="D26" s="1">
        <f t="shared" si="2"/>
        <v>0</v>
      </c>
      <c r="E26" s="1">
        <f t="shared" si="2"/>
        <v>0</v>
      </c>
      <c r="F26" s="1">
        <f t="shared" si="2"/>
        <v>0</v>
      </c>
      <c r="G26" s="1">
        <f t="shared" si="2"/>
        <v>0</v>
      </c>
      <c r="H26" s="1">
        <f t="shared" si="2"/>
        <v>0</v>
      </c>
      <c r="I26" s="1">
        <f t="shared" si="2"/>
        <v>0</v>
      </c>
      <c r="J26" s="1">
        <f t="shared" si="2"/>
        <v>0</v>
      </c>
      <c r="K26" s="1">
        <f t="shared" si="2"/>
        <v>0</v>
      </c>
    </row>
    <row r="27" spans="1:11" x14ac:dyDescent="0.2">
      <c r="B27" s="17" t="s">
        <v>60</v>
      </c>
      <c r="C27" s="1"/>
      <c r="D27" s="1"/>
      <c r="E27" s="1"/>
      <c r="F27" s="1"/>
      <c r="G27" s="1"/>
      <c r="H27" s="1"/>
      <c r="I27" s="1"/>
      <c r="J27" s="1"/>
      <c r="K27" s="1"/>
    </row>
    <row r="98" spans="2:3" x14ac:dyDescent="0.2">
      <c r="B98" s="23" t="s">
        <v>83</v>
      </c>
      <c r="C98" s="23">
        <v>32</v>
      </c>
    </row>
  </sheetData>
  <mergeCells count="3">
    <mergeCell ref="A6:A12"/>
    <mergeCell ref="A13:A19"/>
    <mergeCell ref="A20:A26"/>
  </mergeCells>
  <phoneticPr fontId="2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input</vt:lpstr>
      <vt:lpstr>disk_spec</vt:lpstr>
      <vt:lpstr>seq_read</vt:lpstr>
      <vt:lpstr>seq_write</vt:lpstr>
      <vt:lpstr>rand_read</vt:lpstr>
      <vt:lpstr>rand_write</vt:lpstr>
      <vt:lpstr>seq_mix</vt:lpstr>
      <vt:lpstr>rand_mix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2017-07-04T06:55:09Z</dcterms:created>
  <dcterms:modified xsi:type="dcterms:W3CDTF">2017-12-15T07:35:02Z</dcterms:modified>
</cp:coreProperties>
</file>